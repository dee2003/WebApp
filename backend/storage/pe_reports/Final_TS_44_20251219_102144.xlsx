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2025-12-16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TR 22010 RESUFACING SEC I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TRUE</t>
        </is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1933</t>
        </is>
      </c>
      <c r="B7" s="85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148">
      <c r="A8" s="219" t="n"/>
      <c r="B8" s="92" t="inlineStr">
        <is>
          <t>110350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n">
        <v>5</v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inlineStr">
        <is>
          <t>First</t>
        </is>
      </c>
      <c r="C10" s="5" t="inlineStr">
        <is>
          <t>Last</t>
        </is>
      </c>
      <c r="D10" s="92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148">
      <c r="A11" s="225">
        <f>IFERROR(VLOOKUP(B11,'Employee Numbers'!A1:B125,2,FALSE),"")</f>
        <v/>
      </c>
      <c r="B11" s="226" t="inlineStr">
        <is>
          <t>Alfonso Muñoz</t>
        </is>
      </c>
      <c r="C11" s="181" t="n"/>
      <c r="D11" s="182" t="n"/>
      <c r="E11" s="227" t="n">
        <v>400</v>
      </c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>
        <f>IFERROR(VLOOKUP(B13,'Employee Numbers'!A1:B125,2,FALSE),"")</f>
        <v/>
      </c>
      <c r="B13" s="233" t="inlineStr">
        <is>
          <t>Gabriel Reyes</t>
        </is>
      </c>
      <c r="D13" s="194" t="n"/>
      <c r="E13" s="234" t="n">
        <v>203</v>
      </c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>
        <v>113</v>
      </c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>
        <f>IFERROR(VLOOKUP(B15,'Employee Numbers'!A1:B125,2,FALSE),"")</f>
        <v/>
      </c>
      <c r="B15" s="239" t="inlineStr">
        <is>
          <t>Epifanio Gutierrez</t>
        </is>
      </c>
      <c r="D15" s="194" t="n"/>
      <c r="E15" s="195" t="n">
        <v>109</v>
      </c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>
        <v>113</v>
      </c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>
        <f>IFERROR(VLOOKUP(B17,'Employee Numbers'!A1:B125,2,FALSE),"")</f>
        <v/>
      </c>
      <c r="B17" s="233" t="inlineStr">
        <is>
          <t>Edgar Muñoz-Torres</t>
        </is>
      </c>
      <c r="D17" s="194" t="n"/>
      <c r="E17" s="234" t="n">
        <v>109</v>
      </c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>
        <v>113</v>
      </c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>
        <f>IFERROR(VLOOKUP(B19,'Employee Numbers'!A1:B125,2,FALSE),"")</f>
        <v/>
      </c>
      <c r="B19" s="239" t="inlineStr">
        <is>
          <t>Javier Hugo Mendez</t>
        </is>
      </c>
      <c r="D19" s="194" t="n"/>
      <c r="E19" s="195" t="n">
        <v>109</v>
      </c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>
        <v>113</v>
      </c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>
        <f>IFERROR(VLOOKUP(B21,'Employee Numbers'!A1:B125,2,FALSE),"")</f>
        <v/>
      </c>
      <c r="B21" s="233" t="inlineStr">
        <is>
          <t>Jose Mejia Hernandez</t>
        </is>
      </c>
      <c r="D21" s="194" t="n"/>
      <c r="E21" s="234" t="n">
        <v>121</v>
      </c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>
        <v>113</v>
      </c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>
        <f>IFERROR(VLOOKUP(B23,'Employee Numbers'!A1:B125,2,FALSE),"")</f>
        <v/>
      </c>
      <c r="B23" s="239" t="inlineStr">
        <is>
          <t>Alfredo Perez-Vasquez</t>
        </is>
      </c>
      <c r="D23" s="194" t="n"/>
      <c r="E23" s="195" t="n">
        <v>121</v>
      </c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>
        <v>113</v>
      </c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>
        <f>IFERROR(VLOOKUP(B25,'Employee Numbers'!A1:B125,2,FALSE),"")</f>
        <v/>
      </c>
      <c r="B25" s="233" t="inlineStr">
        <is>
          <t>Fanny Reyes</t>
        </is>
      </c>
      <c r="D25" s="194" t="n"/>
      <c r="E25" s="243" t="n">
        <v>208</v>
      </c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>
        <v>113</v>
      </c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>
        <f>IFERROR(VLOOKUP(B27,'Employee Numbers'!A1:B125,2,FALSE),"")</f>
        <v/>
      </c>
      <c r="B27" s="244" t="inlineStr">
        <is>
          <t>Walter Navas</t>
        </is>
      </c>
      <c r="C27" s="184" t="n"/>
      <c r="D27" s="185" t="n"/>
      <c r="E27" s="245" t="n">
        <v>208</v>
      </c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>
        <v>113</v>
      </c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>
        <v>113</v>
      </c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>
        <f>IFERROR(VLOOKUP(B31,'Employee Numbers'!A1:B125,2,FALSE),"")</f>
        <v/>
      </c>
      <c r="B31" s="239" t="inlineStr">
        <is>
          <t xml:space="preserve">Daniel López </t>
        </is>
      </c>
      <c r="D31" s="194" t="n"/>
      <c r="E31" s="245" t="n">
        <v>208</v>
      </c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>
        <v>113</v>
      </c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>
        <f>IFERROR(VLOOKUP(B33,'Employee Numbers'!A1:B125,2,FALSE),"")</f>
        <v/>
      </c>
      <c r="B33" s="233" t="inlineStr">
        <is>
          <t>Walter castañada</t>
        </is>
      </c>
      <c r="D33" s="194" t="n"/>
      <c r="E33" s="243" t="n">
        <v>208</v>
      </c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>
        <v>113</v>
      </c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inlineStr">
        <is>
          <t>TOTAL</t>
        </is>
      </c>
      <c r="F35" s="194" t="n"/>
      <c r="G35" s="249">
        <f>SUM(G11:H34)</f>
        <v/>
      </c>
      <c r="H35" s="194" t="n"/>
      <c r="I35" s="249">
        <f>SUM(I11:J34)</f>
        <v/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148">
      <c r="A38" s="13" t="inlineStr">
        <is>
          <t xml:space="preserve">Chevy </t>
        </is>
      </c>
      <c r="B38" s="14" t="n">
        <v>122</v>
      </c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148">
      <c r="A39" s="44" t="inlineStr">
        <is>
          <t>Service Truck</t>
        </is>
      </c>
      <c r="B39" s="19" t="n">
        <v>302</v>
      </c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148">
      <c r="A40" s="13" t="inlineStr">
        <is>
          <t>Mini Dump</t>
        </is>
      </c>
      <c r="B40" s="14" t="n">
        <v>412</v>
      </c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148">
      <c r="A41" s="44" t="inlineStr">
        <is>
          <t>Backhoe</t>
        </is>
      </c>
      <c r="B41" s="19" t="n">
        <v>630</v>
      </c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148">
      <c r="A42" s="13" t="inlineStr">
        <is>
          <t>Rolle</t>
        </is>
      </c>
      <c r="B42" s="14" t="n">
        <v>947</v>
      </c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148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148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2025-12-19T04:51:45Z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