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mesheetWebApp\timesheet-app-dev\backend\storage\pe_reports\"/>
    </mc:Choice>
  </mc:AlternateContent>
  <xr:revisionPtr revIDLastSave="0" documentId="13_ncr:1_{0AC33B82-6543-4FBB-A8D9-1556669F5CCA}" xr6:coauthVersionLast="47" xr6:coauthVersionMax="47" xr10:uidLastSave="{00000000-0000-0000-0000-000000000000}"/>
  <bookViews>
    <workbookView xWindow="1920" yWindow="1560" windowWidth="12936" windowHeight="11400" xr2:uid="{00000000-000D-0000-FFFF-FFFF00000000}"/>
  </bookViews>
  <sheets>
    <sheet name="Timesheet" sheetId="1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9"/>
</workbook>
</file>

<file path=xl/calcChain.xml><?xml version="1.0" encoding="utf-8"?>
<calcChain xmlns="http://schemas.openxmlformats.org/spreadsheetml/2006/main">
  <c r="E2" i="8" l="1"/>
  <c r="D2" i="8"/>
  <c r="C2" i="8"/>
  <c r="D5" i="7"/>
  <c r="C5" i="7"/>
  <c r="D4" i="7"/>
  <c r="C4" i="7"/>
  <c r="D3" i="7"/>
  <c r="C3" i="7"/>
  <c r="D2" i="7"/>
  <c r="C2" i="7"/>
  <c r="M20" i="6" a="1"/>
  <c r="M20" i="6"/>
  <c r="L20" i="6" a="1"/>
  <c r="L20" i="6"/>
  <c r="K20" i="6" a="1"/>
  <c r="K20" i="6"/>
  <c r="I20" i="6" a="1"/>
  <c r="I20" i="6" s="1"/>
  <c r="G20" i="6" a="1"/>
  <c r="G20" i="6" s="1"/>
  <c r="AE1" i="5" a="1"/>
  <c r="AE1" i="5"/>
  <c r="W64" i="1"/>
  <c r="W63" i="1"/>
  <c r="W62" i="1"/>
  <c r="W60" i="1"/>
  <c r="W59" i="1"/>
  <c r="W58" i="1"/>
  <c r="W57" i="1"/>
  <c r="W56" i="1"/>
  <c r="W55" i="1"/>
  <c r="W53" i="1"/>
  <c r="W52" i="1"/>
  <c r="W51" i="1"/>
  <c r="W50" i="1"/>
  <c r="W49" i="1"/>
  <c r="S47" i="1"/>
  <c r="Q47" i="1"/>
  <c r="O47" i="1"/>
  <c r="M47" i="1"/>
  <c r="K47" i="1"/>
  <c r="I47" i="1"/>
  <c r="G47" i="1"/>
  <c r="W46" i="1"/>
  <c r="W45" i="1"/>
  <c r="W44" i="1"/>
  <c r="W43" i="1"/>
  <c r="W42" i="1"/>
  <c r="W41" i="1"/>
  <c r="W40" i="1"/>
  <c r="W39" i="1"/>
  <c r="W38" i="1"/>
  <c r="U35" i="1"/>
  <c r="S35" i="1"/>
  <c r="Q35" i="1"/>
  <c r="O35" i="1"/>
  <c r="M35" i="1"/>
  <c r="K35" i="1"/>
  <c r="I35" i="1"/>
  <c r="G35" i="1"/>
  <c r="W33" i="1"/>
  <c r="A33" i="1"/>
  <c r="W31" i="1"/>
  <c r="A31" i="1"/>
  <c r="W29" i="1"/>
  <c r="A29" i="1"/>
  <c r="W27" i="1"/>
  <c r="A27" i="1"/>
  <c r="W25" i="1"/>
  <c r="A25" i="1"/>
  <c r="W23" i="1"/>
  <c r="A23" i="1"/>
  <c r="W21" i="1"/>
  <c r="A21" i="1"/>
  <c r="W19" i="1"/>
  <c r="A19" i="1"/>
  <c r="W17" i="1"/>
  <c r="A17" i="1"/>
  <c r="W15" i="1"/>
  <c r="A15" i="1"/>
  <c r="W13" i="1"/>
  <c r="W11" i="1"/>
  <c r="A11" i="1"/>
</calcChain>
</file>

<file path=xl/sharedStrings.xml><?xml version="1.0" encoding="utf-8"?>
<sst xmlns="http://schemas.openxmlformats.org/spreadsheetml/2006/main" count="554" uniqueCount="278">
  <si>
    <t>FOREMAN DAILY TIMESHEET</t>
  </si>
  <si>
    <t>2025-12-17</t>
  </si>
  <si>
    <t>Shift:</t>
  </si>
  <si>
    <t>LUNCH:</t>
  </si>
  <si>
    <t>1304</t>
  </si>
  <si>
    <t>M LUIS CONSTRUCTION COMPANY  12200 PLUM ORCHARD DRIVE, #110, SILVER SPRING, MD  20904</t>
  </si>
  <si>
    <t>TIME OF DAY:</t>
  </si>
  <si>
    <t>WEATHER:</t>
  </si>
  <si>
    <t xml:space="preserve">TEMP:     </t>
  </si>
  <si>
    <t>JOB NAME:</t>
  </si>
  <si>
    <t xml:space="preserve">LOCATION: </t>
  </si>
  <si>
    <t>PE:</t>
  </si>
  <si>
    <t>FOREMAN: ALFONSO</t>
  </si>
  <si>
    <t xml:space="preserve">APPROVED BY: </t>
  </si>
  <si>
    <t>jsoe123</t>
  </si>
  <si>
    <t>SUPER: OSCAR</t>
  </si>
  <si>
    <t>1706</t>
  </si>
  <si>
    <t>LABOR</t>
  </si>
  <si>
    <t>PHASE #</t>
  </si>
  <si>
    <t>TOTAL</t>
  </si>
  <si>
    <t>EMPLOYEE</t>
  </si>
  <si>
    <t>Salvador Hernandez</t>
  </si>
  <si>
    <t>First</t>
  </si>
  <si>
    <t>Last</t>
  </si>
  <si>
    <t>CLASS #</t>
  </si>
  <si>
    <t>HOURS</t>
  </si>
  <si>
    <t>Alfonso Muñoz</t>
  </si>
  <si>
    <t>1782</t>
  </si>
  <si>
    <t>Reyna   Campos</t>
  </si>
  <si>
    <t>Epifanio Gutierrez</t>
  </si>
  <si>
    <t>Edgar Muñoz-Torres</t>
  </si>
  <si>
    <t>Javier Hugo Mendez</t>
  </si>
  <si>
    <t>Jose Mejia Hernandez</t>
  </si>
  <si>
    <t>Alfredo Perez-Vasquez</t>
  </si>
  <si>
    <t>Fanny Reyes</t>
  </si>
  <si>
    <t>Walter Navas</t>
  </si>
  <si>
    <t xml:space="preserve">Daniel López </t>
  </si>
  <si>
    <t>Walter castañada</t>
  </si>
  <si>
    <t>EQUIPMENT:</t>
  </si>
  <si>
    <t>EQUIP #'ER</t>
  </si>
  <si>
    <t>START HOURS</t>
  </si>
  <si>
    <t>STOP 
HOURS</t>
  </si>
  <si>
    <t>REG.</t>
  </si>
  <si>
    <t>S.B</t>
  </si>
  <si>
    <t xml:space="preserve">Chevy </t>
  </si>
  <si>
    <t>Service Truck</t>
  </si>
  <si>
    <t>Mini Dump</t>
  </si>
  <si>
    <t>Backhoe</t>
  </si>
  <si>
    <t>Rolle</t>
  </si>
  <si>
    <t>WORK PERFORMED</t>
  </si>
  <si>
    <t># of Tickets</t>
  </si>
  <si>
    <t>QUANTITIES PER THE PHASE UNIT (CY, TON, SF, SY, LF, EA, ETC.)</t>
  </si>
  <si>
    <t>MATERIAL AND TRUCKING</t>
  </si>
  <si>
    <t>TOTAL TRUCKING HOURS / TOTAL MATERIAL QTY PER PHASE</t>
  </si>
  <si>
    <t>DUMPING SITE NAME</t>
  </si>
  <si>
    <t># OF LOADS</t>
  </si>
  <si>
    <t xml:space="preserve">QUANTITY PER PHASE </t>
  </si>
  <si>
    <t>(please check when complete)</t>
  </si>
  <si>
    <t>Function</t>
  </si>
  <si>
    <t>Status</t>
  </si>
  <si>
    <t>Logged Superintendent Approval</t>
  </si>
  <si>
    <t>Logged PE Approval</t>
  </si>
  <si>
    <t>Javier Balmes</t>
  </si>
  <si>
    <t>Elmer Flores</t>
  </si>
  <si>
    <t>Jose Luis Herrera</t>
  </si>
  <si>
    <t>Jaime Herrera</t>
  </si>
  <si>
    <t>Narciso Herrera</t>
  </si>
  <si>
    <t>Salvador Pelaez</t>
  </si>
  <si>
    <t>Jose Dimas Delgado</t>
  </si>
  <si>
    <t>Adalberto Labastida</t>
  </si>
  <si>
    <t>Isidro Reyes Ortega</t>
  </si>
  <si>
    <t>Gaudencio Javier Ramirez</t>
  </si>
  <si>
    <t>Jose Mendez</t>
  </si>
  <si>
    <t>Fredy Reyes</t>
  </si>
  <si>
    <t>Victor Alarcon</t>
  </si>
  <si>
    <t>Antonino Balmes</t>
  </si>
  <si>
    <t>Mark Jones</t>
  </si>
  <si>
    <t>Efrain Tapia</t>
  </si>
  <si>
    <t>Jose Peña</t>
  </si>
  <si>
    <t>Jose Garcia Flores</t>
  </si>
  <si>
    <t>Pedro Orellana</t>
  </si>
  <si>
    <t>Juan Vivar Guzmán</t>
  </si>
  <si>
    <t>Lamberto Morales</t>
  </si>
  <si>
    <t>Arturo Tapia</t>
  </si>
  <si>
    <t>Oscar Rendon</t>
  </si>
  <si>
    <t>Nelson Cortez</t>
  </si>
  <si>
    <t>Arsenio Reyes</t>
  </si>
  <si>
    <t>Cesar Martinez</t>
  </si>
  <si>
    <t>Rigoberto Reyes</t>
  </si>
  <si>
    <t>Helmer Bonilla</t>
  </si>
  <si>
    <t>Heriberto Rivera</t>
  </si>
  <si>
    <t>Amado Reyes Jr</t>
  </si>
  <si>
    <t>Jesus Martinez</t>
  </si>
  <si>
    <t>Rene del Cid</t>
  </si>
  <si>
    <t>Omar Jimenez Lazaro</t>
  </si>
  <si>
    <t>Roman Lucero</t>
  </si>
  <si>
    <t>Gabriel Reyes</t>
  </si>
  <si>
    <t>Juan Lopez</t>
  </si>
  <si>
    <t>Carlos Figueroa</t>
  </si>
  <si>
    <t>Cristian Hernandez</t>
  </si>
  <si>
    <t>Walter Tolentino</t>
  </si>
  <si>
    <t>Ermelando Romualdo</t>
  </si>
  <si>
    <t>Lauro Tapia</t>
  </si>
  <si>
    <t>Regulo Martinez</t>
  </si>
  <si>
    <t>German Romualdo</t>
  </si>
  <si>
    <t>Elis Miguel Peña</t>
  </si>
  <si>
    <t>Francisco Reyes</t>
  </si>
  <si>
    <t>Angel Aguilar</t>
  </si>
  <si>
    <t>John Stickles</t>
  </si>
  <si>
    <t>Melinda Brown</t>
  </si>
  <si>
    <t>Bradley Voss</t>
  </si>
  <si>
    <t>Alfred Huggins</t>
  </si>
  <si>
    <t>Jose Luis Vivar</t>
  </si>
  <si>
    <t>Shawn Shorter</t>
  </si>
  <si>
    <t>Rene Pelaez Osorio</t>
  </si>
  <si>
    <t>Maikel Eusebio Zapata</t>
  </si>
  <si>
    <t>Rafael Moreno</t>
  </si>
  <si>
    <t>Luis Osorio Herrera</t>
  </si>
  <si>
    <t>Jose Garcia Perez</t>
  </si>
  <si>
    <t>David Martinez</t>
  </si>
  <si>
    <t>Manuel Peña-Frias</t>
  </si>
  <si>
    <t>Jandel Peña</t>
  </si>
  <si>
    <t>Rene Shombert</t>
  </si>
  <si>
    <t>Fernando Vallejos Rivas</t>
  </si>
  <si>
    <t>Bryan Lopez Santos</t>
  </si>
  <si>
    <t>Santos Vivar Saavedra</t>
  </si>
  <si>
    <t>Reyna Saravia Campos</t>
  </si>
  <si>
    <t>Kenneth Hall</t>
  </si>
  <si>
    <t>David Vivar</t>
  </si>
  <si>
    <t>Kenneth Lorick</t>
  </si>
  <si>
    <t>Jayme Fowler</t>
  </si>
  <si>
    <t>Kevin Lee</t>
  </si>
  <si>
    <t>Robert Horton</t>
  </si>
  <si>
    <t>Christopher Grant</t>
  </si>
  <si>
    <t>William Grier Slaughter</t>
  </si>
  <si>
    <t>Jose Cendejas Silva</t>
  </si>
  <si>
    <t>Roger Canales</t>
  </si>
  <si>
    <t>Howard Beza</t>
  </si>
  <si>
    <t>Alexander Frias Marte</t>
  </si>
  <si>
    <t>Thomas Threatt</t>
  </si>
  <si>
    <t>Fatima Placido</t>
  </si>
  <si>
    <t>Saul Martinez</t>
  </si>
  <si>
    <t>Miriam Herrera Cortes</t>
  </si>
  <si>
    <t>Geremi Vargas Frias</t>
  </si>
  <si>
    <t>Ana Villatoro</t>
  </si>
  <si>
    <t>Christopher Herrera Reyes</t>
  </si>
  <si>
    <t>Miguel Garcia Barrientos</t>
  </si>
  <si>
    <t>Rodrigo Placido-Herrera</t>
  </si>
  <si>
    <t>Alexis Vivar Hernandez</t>
  </si>
  <si>
    <t>Christian Aguilar</t>
  </si>
  <si>
    <t>Rocio Morales Orellana</t>
  </si>
  <si>
    <t>Michael Walters</t>
  </si>
  <si>
    <t>Elia Herrera Gomez</t>
  </si>
  <si>
    <t>Eric Robinson</t>
  </si>
  <si>
    <t>Donald Mills</t>
  </si>
  <si>
    <t>Brandon Contreras</t>
  </si>
  <si>
    <t>Jefferson Zelaya Faro</t>
  </si>
  <si>
    <t>Ana Garcia Torres</t>
  </si>
  <si>
    <t>Maycol Medrano</t>
  </si>
  <si>
    <t>Carlos Reyes Dumois</t>
  </si>
  <si>
    <t>Jose Zelaya Alfaro</t>
  </si>
  <si>
    <t>Donelle Palmer</t>
  </si>
  <si>
    <t>Ramon Calzado</t>
  </si>
  <si>
    <t>Luis Abarca Valenzo</t>
  </si>
  <si>
    <t>Jose Cornejo</t>
  </si>
  <si>
    <t>Christopher Bautista Aguilar</t>
  </si>
  <si>
    <t>Tyler Grimes</t>
  </si>
  <si>
    <t>Brian Bazan-Sanchez</t>
  </si>
  <si>
    <t>Marty Miller</t>
  </si>
  <si>
    <t>Domain McPherson</t>
  </si>
  <si>
    <t>Geryvin Mendez Alvarado</t>
  </si>
  <si>
    <t>William Orellana</t>
  </si>
  <si>
    <t>Angel Romero Reyes</t>
  </si>
  <si>
    <t>Stephen Gingnah</t>
  </si>
  <si>
    <t>Fatima Rodriguez</t>
  </si>
  <si>
    <t>Jewell Braxton</t>
  </si>
  <si>
    <t>Memorio Vivar</t>
  </si>
  <si>
    <t>Daisy Rodriguez</t>
  </si>
  <si>
    <t>Luciano De Miranda</t>
  </si>
  <si>
    <t>autocratn</t>
  </si>
  <si>
    <t>autocratp</t>
  </si>
  <si>
    <t>dataSheetName</t>
  </si>
  <si>
    <t>"Timesheet"</t>
  </si>
  <si>
    <t>v</t>
  </si>
  <si>
    <t>"5.1"</t>
  </si>
  <si>
    <t>dataSheetId</t>
  </si>
  <si>
    <t>"1.320694942E9"</t>
  </si>
  <si>
    <t>updateTime</t>
  </si>
  <si>
    <t>"1.753352423013E12"</t>
  </si>
  <si>
    <t>vp</t>
  </si>
  <si>
    <t>ssId</t>
  </si>
  <si>
    <t>"1AHWElLIpi23Mysmjc_seKEHkBP2oXD37jjJrgjOnU0o"</t>
  </si>
  <si>
    <t>Admin</t>
  </si>
  <si>
    <t>Job_99</t>
  </si>
  <si>
    <t>Job_1250</t>
  </si>
  <si>
    <t>Job_1292</t>
  </si>
  <si>
    <t>Job_1304</t>
  </si>
  <si>
    <t>Job_1312</t>
  </si>
  <si>
    <t>Job_1318</t>
  </si>
  <si>
    <t>Job_1336</t>
  </si>
  <si>
    <t>Job_1343</t>
  </si>
  <si>
    <t>Job_1344</t>
  </si>
  <si>
    <t>Job_1349</t>
  </si>
  <si>
    <t>Job_1353</t>
  </si>
  <si>
    <t>Job_1356</t>
  </si>
  <si>
    <t>Job_1357</t>
  </si>
  <si>
    <t>Job_1362</t>
  </si>
  <si>
    <t>Job_1363</t>
  </si>
  <si>
    <t>Job_1364</t>
  </si>
  <si>
    <t>Job_1368</t>
  </si>
  <si>
    <t>Job_1369</t>
  </si>
  <si>
    <t>Job_1370</t>
  </si>
  <si>
    <t>Job_1371</t>
  </si>
  <si>
    <t>Job_1372</t>
  </si>
  <si>
    <t>Job_1378</t>
  </si>
  <si>
    <t>Job_1379</t>
  </si>
  <si>
    <t>Job_1381</t>
  </si>
  <si>
    <t>Job_1382</t>
  </si>
  <si>
    <t>Job_1383</t>
  </si>
  <si>
    <t>Job_1386</t>
  </si>
  <si>
    <t>S&amp;SL</t>
  </si>
  <si>
    <t>Vacation</t>
  </si>
  <si>
    <t>17C</t>
  </si>
  <si>
    <t>17E</t>
  </si>
  <si>
    <t>17O</t>
  </si>
  <si>
    <t>17P</t>
  </si>
  <si>
    <t>17T</t>
  </si>
  <si>
    <t>Vulcan</t>
  </si>
  <si>
    <t>Rowen</t>
  </si>
  <si>
    <t>Schuster - Rockville</t>
  </si>
  <si>
    <t>Schuster - Baltimore</t>
  </si>
  <si>
    <t>LaFarge</t>
  </si>
  <si>
    <t>M Luis Products</t>
  </si>
  <si>
    <t>MD Paving</t>
  </si>
  <si>
    <t>Pleasants</t>
  </si>
  <si>
    <t>Martin Marietta</t>
  </si>
  <si>
    <t>CD Thomas</t>
  </si>
  <si>
    <t>DC Materials</t>
  </si>
  <si>
    <t>People Ready</t>
  </si>
  <si>
    <t>Aggregate</t>
  </si>
  <si>
    <t>S Mix 2</t>
  </si>
  <si>
    <t>M Mix 3</t>
  </si>
  <si>
    <t>4.75mm</t>
  </si>
  <si>
    <t>#2 stone</t>
  </si>
  <si>
    <t>top soil</t>
  </si>
  <si>
    <t>GAB</t>
  </si>
  <si>
    <t>S Mix 3</t>
  </si>
  <si>
    <t>M Mix 6</t>
  </si>
  <si>
    <t>9.5mm</t>
  </si>
  <si>
    <t>#8 stone</t>
  </si>
  <si>
    <t>c. borrow</t>
  </si>
  <si>
    <t>S Mix 6</t>
  </si>
  <si>
    <t>M Mix 9</t>
  </si>
  <si>
    <t>12.5mm</t>
  </si>
  <si>
    <t>#57 stone</t>
  </si>
  <si>
    <t>S Mix 9</t>
  </si>
  <si>
    <t>19mm</t>
  </si>
  <si>
    <t>CR6</t>
  </si>
  <si>
    <t>25mm</t>
  </si>
  <si>
    <t>R. Rapp</t>
  </si>
  <si>
    <t>cold patch</t>
  </si>
  <si>
    <t>Email Address</t>
  </si>
  <si>
    <t>Name</t>
  </si>
  <si>
    <t>Date</t>
  </si>
  <si>
    <t>Complete</t>
  </si>
  <si>
    <t>walt.leizear@mluisconstruction.com</t>
  </si>
  <si>
    <t>Walt</t>
  </si>
  <si>
    <t>oscar.allende@mluisconstruction.com</t>
  </si>
  <si>
    <t>Oscar</t>
  </si>
  <si>
    <t>william.bratcher@mluisconstruction.com</t>
  </si>
  <si>
    <t>William</t>
  </si>
  <si>
    <t>jason.leizear@mluisconstruction.com</t>
  </si>
  <si>
    <t>Jason</t>
  </si>
  <si>
    <t>Approved</t>
  </si>
  <si>
    <t>schnelle.blanco@mluisconstruction.com</t>
  </si>
  <si>
    <t>Schnelle</t>
  </si>
  <si>
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</si>
  <si>
    <t>{name},
Alfonso's timesheet for {date} has been submitted and approved. 
Thanks,
M. Luis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</si>
</sst>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980000"/>
      <name val="Arial"/>
    </font>
    <font>
      <b/>
      <sz val="14"/>
      <name val="Arial"/>
    </font>
    <font>
      <b/>
      <sz val="12"/>
      <name val="Arial"/>
    </font>
    <font>
      <b/>
      <sz val="12"/>
      <color rgb="FF0000FF"/>
      <name val="Arial"/>
    </font>
    <font>
      <b/>
      <sz val="14"/>
      <color rgb="FFFF0000"/>
      <name val="Arial"/>
    </font>
    <font>
      <b/>
      <sz val="12"/>
      <color rgb="FFFF0000"/>
      <name val="Arial"/>
    </font>
    <font>
      <b/>
      <sz val="9"/>
      <name val="Arial"/>
    </font>
    <font>
      <b/>
      <sz val="10"/>
      <color rgb="FFFF0000"/>
      <name val="Arial"/>
    </font>
    <font>
      <b/>
      <sz val="14"/>
      <color rgb="FF0000FF"/>
      <name val="Arial"/>
    </font>
    <font>
      <sz val="10"/>
      <name val="Arial"/>
    </font>
    <font>
      <sz val="11"/>
      <color rgb="FF525066"/>
      <name val="Monospace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6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24"/>
  </cellStyleXfs>
  <cellXfs count="182">
    <xf numFmtId="0" fontId="0" fillId="0" borderId="0" xfId="0" applyBorder="1"/>
    <xf numFmtId="0" fontId="1" fillId="0" borderId="0" xfId="0" applyFont="1" applyBorder="1"/>
    <xf numFmtId="0" fontId="1" fillId="0" borderId="11" xfId="0" applyFont="1" applyBorder="1" applyAlignment="1">
      <alignment horizontal="left"/>
    </xf>
    <xf numFmtId="0" fontId="2" fillId="0" borderId="13" xfId="0" applyFont="1" applyBorder="1"/>
    <xf numFmtId="0" fontId="1" fillId="2" borderId="24" xfId="0" applyFont="1" applyFill="1" applyAlignment="1">
      <alignment horizontal="left"/>
    </xf>
    <xf numFmtId="0" fontId="1" fillId="2" borderId="24" xfId="0" applyFont="1" applyFill="1" applyAlignment="1">
      <alignment horizontal="right"/>
    </xf>
    <xf numFmtId="0" fontId="1" fillId="2" borderId="24" xfId="0" applyFont="1" applyFill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0" fontId="10" fillId="2" borderId="30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3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9" fillId="0" borderId="34" xfId="0" applyNumberFormat="1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4" fontId="9" fillId="3" borderId="34" xfId="0" applyNumberFormat="1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7" xfId="0" applyFont="1" applyBorder="1"/>
    <xf numFmtId="164" fontId="9" fillId="5" borderId="34" xfId="0" applyNumberFormat="1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3" fillId="0" borderId="40" xfId="0" applyFont="1" applyBorder="1" applyAlignment="1">
      <alignment horizontal="center" vertical="center" wrapText="1"/>
    </xf>
    <xf numFmtId="165" fontId="9" fillId="0" borderId="22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5" fontId="9" fillId="3" borderId="22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2" fillId="0" borderId="0" xfId="0" applyFont="1" applyBorder="1"/>
    <xf numFmtId="0" fontId="13" fillId="0" borderId="0" xfId="0" applyFont="1" applyBorder="1"/>
    <xf numFmtId="0" fontId="14" fillId="8" borderId="0" xfId="0" applyFont="1" applyFill="1" applyBorder="1"/>
    <xf numFmtId="166" fontId="2" fillId="0" borderId="0" xfId="0" applyNumberFormat="1" applyFont="1" applyBorder="1"/>
    <xf numFmtId="0" fontId="1" fillId="0" borderId="23" xfId="0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3" borderId="23" xfId="0" applyFont="1" applyFill="1" applyBorder="1"/>
    <xf numFmtId="0" fontId="2" fillId="0" borderId="33" xfId="0" applyFont="1" applyBorder="1"/>
    <xf numFmtId="0" fontId="2" fillId="0" borderId="30" xfId="0" applyFont="1" applyBorder="1"/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49" fontId="2" fillId="7" borderId="33" xfId="0" applyNumberFormat="1" applyFont="1" applyFill="1" applyBorder="1" applyAlignment="1">
      <alignment horizontal="center"/>
    </xf>
    <xf numFmtId="49" fontId="2" fillId="7" borderId="13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/>
    </xf>
    <xf numFmtId="0" fontId="3" fillId="0" borderId="58" xfId="0" applyFont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6" xfId="0" applyBorder="1"/>
    <xf numFmtId="0" fontId="3" fillId="0" borderId="53" xfId="0" applyFont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/>
    </xf>
    <xf numFmtId="0" fontId="1" fillId="0" borderId="52" xfId="0" applyFont="1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3" fillId="0" borderId="32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7" fillId="3" borderId="52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/>
    </xf>
    <xf numFmtId="0" fontId="0" fillId="0" borderId="43" xfId="0" applyBorder="1"/>
    <xf numFmtId="0" fontId="0" fillId="0" borderId="4" xfId="0" applyBorder="1"/>
    <xf numFmtId="0" fontId="0" fillId="0" borderId="5" xfId="0" applyBorder="1"/>
    <xf numFmtId="0" fontId="1" fillId="2" borderId="59" xfId="0" applyFont="1" applyFill="1" applyBorder="1" applyAlignment="1">
      <alignment horizontal="center"/>
    </xf>
    <xf numFmtId="0" fontId="0" fillId="0" borderId="25" xfId="0" applyBorder="1"/>
    <xf numFmtId="0" fontId="7" fillId="0" borderId="52" xfId="0" applyFont="1" applyBorder="1" applyAlignment="1">
      <alignment horizontal="center"/>
    </xf>
    <xf numFmtId="0" fontId="7" fillId="3" borderId="33" xfId="0" applyFont="1" applyFill="1" applyBorder="1" applyAlignment="1">
      <alignment horizontal="center" vertical="top" wrapText="1"/>
    </xf>
    <xf numFmtId="0" fontId="7" fillId="3" borderId="52" xfId="0" applyFont="1" applyFill="1" applyBorder="1" applyAlignment="1">
      <alignment horizontal="center"/>
    </xf>
    <xf numFmtId="165" fontId="8" fillId="0" borderId="39" xfId="0" applyNumberFormat="1" applyFont="1" applyBorder="1" applyAlignment="1">
      <alignment horizontal="center" vertical="center"/>
    </xf>
    <xf numFmtId="0" fontId="0" fillId="0" borderId="29" xfId="0" applyBorder="1"/>
    <xf numFmtId="0" fontId="1" fillId="0" borderId="55" xfId="0" applyFont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7" fillId="0" borderId="3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6" fillId="3" borderId="5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8" xfId="0" applyBorder="1"/>
    <xf numFmtId="0" fontId="0" fillId="0" borderId="45" xfId="0" applyBorder="1"/>
    <xf numFmtId="0" fontId="0" fillId="0" borderId="14" xfId="0" applyBorder="1"/>
    <xf numFmtId="0" fontId="6" fillId="0" borderId="56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1" fillId="0" borderId="20" xfId="0" applyFont="1" applyBorder="1"/>
    <xf numFmtId="0" fontId="0" fillId="0" borderId="3" xfId="0" applyBorder="1"/>
    <xf numFmtId="0" fontId="7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2" borderId="24" xfId="0" applyFont="1" applyFill="1" applyAlignment="1">
      <alignment horizontal="center"/>
    </xf>
    <xf numFmtId="0" fontId="3" fillId="0" borderId="57" xfId="0" applyFont="1" applyBorder="1" applyAlignment="1">
      <alignment horizontal="center" vertical="center" wrapText="1"/>
    </xf>
    <xf numFmtId="0" fontId="0" fillId="0" borderId="41" xfId="0" applyBorder="1"/>
    <xf numFmtId="0" fontId="0" fillId="0" borderId="40" xfId="0" applyBorder="1"/>
    <xf numFmtId="0" fontId="7" fillId="0" borderId="30" xfId="0" applyFont="1" applyBorder="1" applyAlignment="1">
      <alignment horizontal="center" vertical="top" wrapText="1"/>
    </xf>
    <xf numFmtId="0" fontId="3" fillId="0" borderId="58" xfId="0" applyFont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165" fontId="8" fillId="3" borderId="39" xfId="0" applyNumberFormat="1" applyFont="1" applyFill="1" applyBorder="1" applyAlignment="1">
      <alignment horizontal="center" vertical="center"/>
    </xf>
    <xf numFmtId="0" fontId="1" fillId="0" borderId="59" xfId="0" applyFont="1" applyBorder="1"/>
    <xf numFmtId="0" fontId="0" fillId="0" borderId="2" xfId="0" applyBorder="1"/>
    <xf numFmtId="0" fontId="1" fillId="0" borderId="52" xfId="0" applyFont="1" applyBorder="1" applyAlignment="1">
      <alignment horizontal="center" vertical="center"/>
    </xf>
    <xf numFmtId="0" fontId="7" fillId="0" borderId="51" xfId="0" applyFont="1" applyBorder="1" applyAlignment="1">
      <alignment horizontal="left" vertical="top" wrapText="1"/>
    </xf>
    <xf numFmtId="0" fontId="0" fillId="0" borderId="31" xfId="0" applyBorder="1"/>
    <xf numFmtId="0" fontId="0" fillId="0" borderId="48" xfId="0" applyBorder="1"/>
    <xf numFmtId="0" fontId="1" fillId="3" borderId="52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center" wrapText="1"/>
    </xf>
    <xf numFmtId="0" fontId="3" fillId="3" borderId="30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" fillId="0" borderId="33" xfId="0" applyFont="1" applyBorder="1" applyAlignment="1">
      <alignment horizontal="center" vertical="top" wrapText="1"/>
    </xf>
    <xf numFmtId="0" fontId="1" fillId="0" borderId="25" xfId="0" applyFont="1" applyBorder="1"/>
    <xf numFmtId="0" fontId="7" fillId="0" borderId="52" xfId="0" applyFont="1" applyBorder="1" applyAlignment="1">
      <alignment horizontal="center" vertical="top" wrapText="1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" fillId="0" borderId="33" xfId="0" applyFont="1" applyBorder="1"/>
    <xf numFmtId="0" fontId="1" fillId="2" borderId="6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3" fontId="12" fillId="6" borderId="50" xfId="0" applyNumberFormat="1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46" xfId="0" applyBorder="1"/>
    <xf numFmtId="0" fontId="12" fillId="6" borderId="50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0" fillId="0" borderId="27" xfId="0" applyBorder="1"/>
    <xf numFmtId="0" fontId="1" fillId="2" borderId="30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9" fillId="5" borderId="52" xfId="0" applyFont="1" applyFill="1" applyBorder="1" applyAlignment="1">
      <alignment horizontal="center" vertical="center"/>
    </xf>
    <xf numFmtId="0" fontId="1" fillId="0" borderId="21" xfId="0" applyFont="1" applyBorder="1"/>
    <xf numFmtId="0" fontId="6" fillId="0" borderId="52" xfId="0" applyFont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left"/>
    </xf>
    <xf numFmtId="0" fontId="0" fillId="0" borderId="18" xfId="0" applyBorder="1"/>
    <xf numFmtId="0" fontId="1" fillId="0" borderId="33" xfId="0" applyFont="1" applyBorder="1" applyAlignment="1">
      <alignment horizontal="center" vertical="center"/>
    </xf>
    <xf numFmtId="2" fontId="9" fillId="0" borderId="5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0" fillId="0" borderId="10" xfId="0" applyBorder="1"/>
    <xf numFmtId="0" fontId="3" fillId="3" borderId="3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left" vertical="center" wrapText="1"/>
    </xf>
    <xf numFmtId="0" fontId="1" fillId="6" borderId="50" xfId="0" applyFont="1" applyFill="1" applyBorder="1" applyAlignment="1">
      <alignment horizontal="center" vertical="top" wrapText="1"/>
    </xf>
    <xf numFmtId="0" fontId="0" fillId="0" borderId="47" xfId="0" applyBorder="1"/>
    <xf numFmtId="0" fontId="11" fillId="0" borderId="49" xfId="0" applyFont="1" applyBorder="1" applyAlignment="1">
      <alignment horizontal="left" vertical="center" wrapText="1"/>
    </xf>
    <xf numFmtId="0" fontId="0" fillId="0" borderId="49" xfId="0" applyBorder="1"/>
    <xf numFmtId="0" fontId="1" fillId="2" borderId="19" xfId="0" applyFont="1" applyFill="1" applyBorder="1" applyAlignment="1">
      <alignment horizontal="center" vertical="center"/>
    </xf>
    <xf numFmtId="0" fontId="0" fillId="0" borderId="23" xfId="0" applyBorder="1"/>
    <xf numFmtId="0" fontId="5" fillId="6" borderId="3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top" wrapText="1"/>
    </xf>
    <xf numFmtId="0" fontId="9" fillId="0" borderId="56" xfId="0" applyFont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left"/>
    </xf>
    <xf numFmtId="0" fontId="1" fillId="3" borderId="52" xfId="0" applyFont="1" applyFill="1" applyBorder="1" applyAlignment="1">
      <alignment horizontal="center"/>
    </xf>
    <xf numFmtId="0" fontId="7" fillId="0" borderId="30" xfId="0" applyFont="1" applyBorder="1" applyAlignment="1">
      <alignment horizontal="center" vertical="center"/>
    </xf>
    <xf numFmtId="0" fontId="1" fillId="2" borderId="24" xfId="0" applyFont="1" applyFill="1" applyAlignment="1">
      <alignment horizontal="left"/>
    </xf>
    <xf numFmtId="0" fontId="11" fillId="0" borderId="5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" xfId="0" applyFont="1" applyBorder="1"/>
    <xf numFmtId="0" fontId="6" fillId="0" borderId="5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52" xfId="0" applyFont="1" applyBorder="1" applyAlignment="1">
      <alignment horizontal="center"/>
    </xf>
    <xf numFmtId="0" fontId="7" fillId="3" borderId="30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3" borderId="33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FFFFFF"/>
      </font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85725</xdr:rowOff>
    </xdr:from>
    <xdr:ext cx="647700" cy="609600"/>
    <xdr:pic>
      <xdr:nvPicPr>
        <xdr:cNvPr id="2" name="image1.png" descr="No automatic alt text available.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tabSelected="1" workbookViewId="0">
      <selection sqref="A1:C2"/>
    </sheetView>
  </sheetViews>
  <sheetFormatPr defaultColWidth="12.5546875" defaultRowHeight="15" customHeight="1"/>
  <cols>
    <col min="1" max="1" width="15.44140625" customWidth="1"/>
    <col min="2" max="2" width="8" customWidth="1"/>
    <col min="3" max="3" width="10" customWidth="1"/>
    <col min="4" max="4" width="5" customWidth="1"/>
    <col min="5" max="22" width="4.44140625" customWidth="1"/>
    <col min="23" max="23" width="11.88671875" customWidth="1"/>
    <col min="24" max="26" width="8" customWidth="1"/>
  </cols>
  <sheetData>
    <row r="1" spans="1:26" ht="14.25" customHeight="1">
      <c r="A1" s="67" t="s">
        <v>0</v>
      </c>
      <c r="B1" s="68"/>
      <c r="C1" s="53"/>
      <c r="D1" s="103" t="s">
        <v>1</v>
      </c>
      <c r="E1" s="104"/>
      <c r="F1" s="104"/>
      <c r="G1" s="72"/>
      <c r="H1" s="103" t="s">
        <v>2</v>
      </c>
      <c r="I1" s="104"/>
      <c r="J1" s="104"/>
      <c r="K1" s="104"/>
      <c r="L1" s="104"/>
      <c r="M1" s="72"/>
      <c r="N1" s="170" t="s">
        <v>3</v>
      </c>
      <c r="O1" s="68"/>
      <c r="P1" s="68"/>
      <c r="Q1" s="68"/>
      <c r="R1" s="53"/>
      <c r="S1" s="90" t="s">
        <v>4</v>
      </c>
      <c r="T1" s="68"/>
      <c r="U1" s="68"/>
      <c r="V1" s="68"/>
      <c r="W1" s="91"/>
      <c r="X1" s="1"/>
      <c r="Y1" s="1"/>
      <c r="Z1" s="1"/>
    </row>
    <row r="2" spans="1:26" ht="19.5" customHeight="1">
      <c r="A2" s="69"/>
      <c r="B2" s="70"/>
      <c r="C2" s="57"/>
      <c r="D2" s="173"/>
      <c r="E2" s="70"/>
      <c r="F2" s="70"/>
      <c r="G2" s="57"/>
      <c r="H2" s="177"/>
      <c r="I2" s="84"/>
      <c r="J2" s="84"/>
      <c r="K2" s="84"/>
      <c r="L2" s="84"/>
      <c r="M2" s="55"/>
      <c r="N2" s="118"/>
      <c r="O2" s="70"/>
      <c r="P2" s="70"/>
      <c r="Q2" s="70"/>
      <c r="R2" s="57"/>
      <c r="S2" s="143"/>
      <c r="T2" s="70"/>
      <c r="U2" s="70"/>
      <c r="V2" s="70"/>
      <c r="W2" s="144"/>
      <c r="X2" s="1"/>
      <c r="Y2" s="1"/>
      <c r="Z2" s="1"/>
    </row>
    <row r="3" spans="1:26" ht="19.5" customHeight="1">
      <c r="A3" s="2"/>
      <c r="B3" s="111" t="s">
        <v>5</v>
      </c>
      <c r="C3" s="104"/>
      <c r="D3" s="104"/>
      <c r="E3" s="72"/>
      <c r="F3" s="103" t="s">
        <v>6</v>
      </c>
      <c r="G3" s="104"/>
      <c r="H3" s="72"/>
      <c r="I3" s="115" t="s">
        <v>7</v>
      </c>
      <c r="J3" s="104"/>
      <c r="K3" s="104"/>
      <c r="L3" s="104"/>
      <c r="M3" s="72"/>
      <c r="N3" s="163" t="s">
        <v>8</v>
      </c>
      <c r="O3" s="84"/>
      <c r="P3" s="84"/>
      <c r="Q3" s="84"/>
      <c r="R3" s="55"/>
      <c r="S3" s="133" t="s">
        <v>9</v>
      </c>
      <c r="T3" s="84"/>
      <c r="U3" s="84"/>
      <c r="V3" s="84"/>
      <c r="W3" s="107"/>
      <c r="X3" s="1"/>
      <c r="Y3" s="1"/>
      <c r="Z3" s="1"/>
    </row>
    <row r="4" spans="1:26" ht="16.5" customHeight="1">
      <c r="A4" s="41"/>
      <c r="B4" s="84"/>
      <c r="C4" s="84"/>
      <c r="D4" s="84"/>
      <c r="E4" s="55"/>
      <c r="F4" s="118"/>
      <c r="G4" s="70"/>
      <c r="H4" s="57"/>
      <c r="I4" s="118"/>
      <c r="J4" s="70"/>
      <c r="K4" s="70"/>
      <c r="L4" s="70"/>
      <c r="M4" s="57"/>
      <c r="N4" s="118"/>
      <c r="O4" s="70"/>
      <c r="P4" s="70"/>
      <c r="Q4" s="70"/>
      <c r="R4" s="57"/>
      <c r="S4" s="143"/>
      <c r="T4" s="70"/>
      <c r="U4" s="70"/>
      <c r="V4" s="70"/>
      <c r="W4" s="144"/>
      <c r="X4" s="1"/>
      <c r="Y4" s="1"/>
      <c r="Z4" s="1"/>
    </row>
    <row r="5" spans="1:26" ht="16.5" customHeight="1">
      <c r="A5" s="41"/>
      <c r="B5" s="84"/>
      <c r="C5" s="84"/>
      <c r="D5" s="84"/>
      <c r="E5" s="55"/>
      <c r="F5" s="119" t="s">
        <v>10</v>
      </c>
      <c r="G5" s="64"/>
      <c r="H5" s="64"/>
      <c r="I5" s="64"/>
      <c r="J5" s="64"/>
      <c r="K5" s="64"/>
      <c r="L5" s="64"/>
      <c r="M5" s="64"/>
      <c r="N5" s="64"/>
      <c r="O5" s="65"/>
      <c r="P5" s="42" t="s">
        <v>11</v>
      </c>
      <c r="Q5" s="169" t="b">
        <v>1</v>
      </c>
      <c r="R5" s="65"/>
      <c r="S5" s="180" t="s">
        <v>12</v>
      </c>
      <c r="T5" s="70"/>
      <c r="U5" s="70"/>
      <c r="V5" s="70"/>
      <c r="W5" s="144"/>
      <c r="X5" s="1"/>
      <c r="Y5" s="1"/>
      <c r="Z5" s="1"/>
    </row>
    <row r="6" spans="1:26" ht="19.5" customHeight="1">
      <c r="A6" s="41"/>
      <c r="B6" s="86"/>
      <c r="C6" s="86"/>
      <c r="D6" s="86"/>
      <c r="E6" s="87"/>
      <c r="F6" s="174" t="s">
        <v>13</v>
      </c>
      <c r="G6" s="61"/>
      <c r="H6" s="61"/>
      <c r="I6" s="140"/>
      <c r="J6" s="61"/>
      <c r="K6" s="61"/>
      <c r="L6" s="61"/>
      <c r="M6" s="61"/>
      <c r="N6" s="61"/>
      <c r="O6" s="61"/>
      <c r="P6" s="61"/>
      <c r="Q6" s="172" t="s">
        <v>14</v>
      </c>
      <c r="R6" s="62"/>
      <c r="S6" s="136" t="s">
        <v>15</v>
      </c>
      <c r="T6" s="61"/>
      <c r="U6" s="61"/>
      <c r="V6" s="61"/>
      <c r="W6" s="137"/>
      <c r="X6" s="1"/>
      <c r="Y6" s="1"/>
      <c r="Z6" s="1"/>
    </row>
    <row r="7" spans="1:26" ht="12" customHeight="1">
      <c r="A7" s="152" t="s">
        <v>16</v>
      </c>
      <c r="B7" s="178" t="s">
        <v>17</v>
      </c>
      <c r="C7" s="68"/>
      <c r="D7" s="68"/>
      <c r="E7" s="161" t="s">
        <v>18</v>
      </c>
      <c r="F7" s="53"/>
      <c r="G7" s="52"/>
      <c r="H7" s="53"/>
      <c r="I7" s="52"/>
      <c r="J7" s="53"/>
      <c r="K7" s="52"/>
      <c r="L7" s="53"/>
      <c r="M7" s="100"/>
      <c r="N7" s="53"/>
      <c r="O7" s="52"/>
      <c r="P7" s="53"/>
      <c r="Q7" s="52"/>
      <c r="R7" s="53"/>
      <c r="S7" s="52"/>
      <c r="T7" s="53"/>
      <c r="U7" s="52"/>
      <c r="V7" s="53"/>
      <c r="W7" s="120" t="s">
        <v>19</v>
      </c>
      <c r="X7" s="1"/>
      <c r="Y7" s="1"/>
      <c r="Z7" s="1"/>
    </row>
    <row r="8" spans="1:26" ht="12" customHeight="1">
      <c r="A8" s="153"/>
      <c r="B8" s="95" t="s">
        <v>20</v>
      </c>
      <c r="C8" s="84"/>
      <c r="D8" s="84"/>
      <c r="E8" s="54"/>
      <c r="F8" s="55"/>
      <c r="G8" s="54"/>
      <c r="H8" s="55"/>
      <c r="I8" s="54"/>
      <c r="J8" s="55"/>
      <c r="K8" s="54"/>
      <c r="L8" s="55"/>
      <c r="M8" s="54"/>
      <c r="N8" s="55"/>
      <c r="O8" s="54"/>
      <c r="P8" s="55"/>
      <c r="Q8" s="54"/>
      <c r="R8" s="55"/>
      <c r="S8" s="54"/>
      <c r="T8" s="55"/>
      <c r="U8" s="54"/>
      <c r="V8" s="55"/>
      <c r="W8" s="121"/>
      <c r="X8" s="1"/>
      <c r="Y8" s="1"/>
      <c r="Z8" s="1"/>
    </row>
    <row r="9" spans="1:26" ht="10.5" customHeight="1">
      <c r="A9" s="153"/>
      <c r="B9" s="166" t="s">
        <v>21</v>
      </c>
      <c r="C9" s="84"/>
      <c r="D9" s="84"/>
      <c r="E9" s="56"/>
      <c r="F9" s="57"/>
      <c r="G9" s="56"/>
      <c r="H9" s="57"/>
      <c r="I9" s="56"/>
      <c r="J9" s="57"/>
      <c r="K9" s="56"/>
      <c r="L9" s="57"/>
      <c r="M9" s="56"/>
      <c r="N9" s="57"/>
      <c r="O9" s="56"/>
      <c r="P9" s="57"/>
      <c r="Q9" s="56"/>
      <c r="R9" s="57"/>
      <c r="S9" s="56"/>
      <c r="T9" s="57"/>
      <c r="U9" s="56"/>
      <c r="V9" s="57"/>
      <c r="W9" s="122"/>
      <c r="X9" s="1"/>
      <c r="Y9" s="1"/>
      <c r="Z9" s="1"/>
    </row>
    <row r="10" spans="1:26" ht="12.75" customHeight="1">
      <c r="A10" s="153"/>
      <c r="B10" s="4" t="s">
        <v>22</v>
      </c>
      <c r="C10" s="5" t="s">
        <v>23</v>
      </c>
      <c r="D10" s="6"/>
      <c r="E10" s="71" t="s">
        <v>24</v>
      </c>
      <c r="F10" s="72"/>
      <c r="G10" s="71" t="s">
        <v>25</v>
      </c>
      <c r="H10" s="72"/>
      <c r="I10" s="71" t="s">
        <v>25</v>
      </c>
      <c r="J10" s="72"/>
      <c r="K10" s="71" t="s">
        <v>25</v>
      </c>
      <c r="L10" s="72"/>
      <c r="M10" s="71" t="s">
        <v>25</v>
      </c>
      <c r="N10" s="72"/>
      <c r="O10" s="71" t="s">
        <v>25</v>
      </c>
      <c r="P10" s="72"/>
      <c r="Q10" s="71" t="s">
        <v>25</v>
      </c>
      <c r="R10" s="72"/>
      <c r="S10" s="71" t="s">
        <v>25</v>
      </c>
      <c r="T10" s="72"/>
      <c r="U10" s="71" t="s">
        <v>25</v>
      </c>
      <c r="V10" s="72"/>
      <c r="W10" s="7" t="s">
        <v>25</v>
      </c>
      <c r="X10" s="1"/>
      <c r="Y10" s="1"/>
      <c r="Z10" s="1"/>
    </row>
    <row r="11" spans="1:26" ht="18" customHeight="1">
      <c r="A11" s="127">
        <f>IFERROR(VLOOKUP(B11,'Employee Numbers'!A1:B125,2,FALSE),"")</f>
        <v>177</v>
      </c>
      <c r="B11" s="171" t="s">
        <v>26</v>
      </c>
      <c r="C11" s="68"/>
      <c r="D11" s="53"/>
      <c r="E11" s="168">
        <v>400</v>
      </c>
      <c r="F11" s="53"/>
      <c r="G11" s="89"/>
      <c r="H11" s="53"/>
      <c r="I11" s="89"/>
      <c r="J11" s="53"/>
      <c r="K11" s="89"/>
      <c r="L11" s="53"/>
      <c r="M11" s="89"/>
      <c r="N11" s="53"/>
      <c r="O11" s="89"/>
      <c r="P11" s="53"/>
      <c r="Q11" s="89"/>
      <c r="R11" s="53"/>
      <c r="S11" s="89"/>
      <c r="T11" s="53"/>
      <c r="U11" s="89"/>
      <c r="V11" s="53"/>
      <c r="W11" s="76">
        <f>SUM(G11:V12)</f>
        <v>0</v>
      </c>
      <c r="X11" s="1"/>
      <c r="Y11" s="1"/>
      <c r="Z11" s="1"/>
    </row>
    <row r="12" spans="1:26" ht="18" customHeight="1">
      <c r="A12" s="128"/>
      <c r="B12" s="85"/>
      <c r="C12" s="86"/>
      <c r="D12" s="87"/>
      <c r="E12" s="85"/>
      <c r="F12" s="87"/>
      <c r="G12" s="85"/>
      <c r="H12" s="87"/>
      <c r="I12" s="85"/>
      <c r="J12" s="87"/>
      <c r="K12" s="85"/>
      <c r="L12" s="87"/>
      <c r="M12" s="85"/>
      <c r="N12" s="87"/>
      <c r="O12" s="85"/>
      <c r="P12" s="87"/>
      <c r="Q12" s="85"/>
      <c r="R12" s="87"/>
      <c r="S12" s="85"/>
      <c r="T12" s="87"/>
      <c r="U12" s="85"/>
      <c r="V12" s="87"/>
      <c r="W12" s="77"/>
      <c r="X12" s="1"/>
      <c r="Y12" s="1"/>
      <c r="Z12" s="1"/>
    </row>
    <row r="13" spans="1:26" ht="18" customHeight="1">
      <c r="A13" s="127" t="s">
        <v>27</v>
      </c>
      <c r="B13" s="83" t="s">
        <v>28</v>
      </c>
      <c r="C13" s="84"/>
      <c r="D13" s="55"/>
      <c r="E13" s="117">
        <v>203</v>
      </c>
      <c r="F13" s="57"/>
      <c r="G13" s="59"/>
      <c r="H13" s="57"/>
      <c r="I13" s="59"/>
      <c r="J13" s="57"/>
      <c r="K13" s="59"/>
      <c r="L13" s="57"/>
      <c r="M13" s="59"/>
      <c r="N13" s="57"/>
      <c r="O13" s="59"/>
      <c r="P13" s="57"/>
      <c r="Q13" s="59"/>
      <c r="R13" s="57"/>
      <c r="S13" s="59"/>
      <c r="T13" s="57"/>
      <c r="U13" s="59"/>
      <c r="V13" s="57"/>
      <c r="W13" s="102">
        <f>SUM(G13:V14)</f>
        <v>0</v>
      </c>
      <c r="X13" s="1"/>
      <c r="Y13" s="1"/>
      <c r="Z13" s="1"/>
    </row>
    <row r="14" spans="1:26" ht="18" customHeight="1">
      <c r="A14" s="128"/>
      <c r="B14" s="85"/>
      <c r="C14" s="86"/>
      <c r="D14" s="87"/>
      <c r="E14" s="109">
        <v>113</v>
      </c>
      <c r="F14" s="62"/>
      <c r="G14" s="75"/>
      <c r="H14" s="62"/>
      <c r="I14" s="75"/>
      <c r="J14" s="62"/>
      <c r="K14" s="75"/>
      <c r="L14" s="62"/>
      <c r="M14" s="75"/>
      <c r="N14" s="62"/>
      <c r="O14" s="75"/>
      <c r="P14" s="62"/>
      <c r="Q14" s="75"/>
      <c r="R14" s="62"/>
      <c r="S14" s="75"/>
      <c r="T14" s="62"/>
      <c r="U14" s="75"/>
      <c r="V14" s="62"/>
      <c r="W14" s="77"/>
      <c r="X14" s="1"/>
      <c r="Y14" s="1"/>
      <c r="Z14" s="1"/>
    </row>
    <row r="15" spans="1:26" ht="18" customHeight="1">
      <c r="A15" s="127">
        <f>IFERROR(VLOOKUP(B15,'Employee Numbers'!A1:B125,2,FALSE),"")</f>
        <v>1308</v>
      </c>
      <c r="B15" s="88" t="s">
        <v>29</v>
      </c>
      <c r="C15" s="84"/>
      <c r="D15" s="55"/>
      <c r="E15" s="118">
        <v>109</v>
      </c>
      <c r="F15" s="57"/>
      <c r="G15" s="82"/>
      <c r="H15" s="57"/>
      <c r="I15" s="82"/>
      <c r="J15" s="57"/>
      <c r="K15" s="82"/>
      <c r="L15" s="57"/>
      <c r="M15" s="82"/>
      <c r="N15" s="57"/>
      <c r="O15" s="82"/>
      <c r="P15" s="57"/>
      <c r="Q15" s="82"/>
      <c r="R15" s="57"/>
      <c r="S15" s="82"/>
      <c r="T15" s="57"/>
      <c r="U15" s="82"/>
      <c r="V15" s="57"/>
      <c r="W15" s="76">
        <f>SUM(G15:V16)</f>
        <v>0</v>
      </c>
      <c r="X15" s="1"/>
      <c r="Y15" s="1"/>
      <c r="Z15" s="1"/>
    </row>
    <row r="16" spans="1:26" ht="18" customHeight="1">
      <c r="A16" s="128"/>
      <c r="B16" s="85"/>
      <c r="C16" s="86"/>
      <c r="D16" s="87"/>
      <c r="E16" s="105">
        <v>113</v>
      </c>
      <c r="F16" s="62"/>
      <c r="G16" s="73"/>
      <c r="H16" s="62"/>
      <c r="I16" s="73"/>
      <c r="J16" s="62"/>
      <c r="K16" s="73"/>
      <c r="L16" s="62"/>
      <c r="M16" s="73"/>
      <c r="N16" s="62"/>
      <c r="O16" s="73"/>
      <c r="P16" s="62"/>
      <c r="Q16" s="73"/>
      <c r="R16" s="62"/>
      <c r="S16" s="73"/>
      <c r="T16" s="62"/>
      <c r="U16" s="73"/>
      <c r="V16" s="62"/>
      <c r="W16" s="77"/>
      <c r="X16" s="1"/>
      <c r="Y16" s="1"/>
      <c r="Z16" s="1"/>
    </row>
    <row r="17" spans="1:26" ht="18" customHeight="1">
      <c r="A17" s="127">
        <f>IFERROR(VLOOKUP(B17,'Employee Numbers'!A1:B125,2,FALSE),"")</f>
        <v>1728</v>
      </c>
      <c r="B17" s="83" t="s">
        <v>30</v>
      </c>
      <c r="C17" s="84"/>
      <c r="D17" s="55"/>
      <c r="E17" s="117">
        <v>109</v>
      </c>
      <c r="F17" s="57"/>
      <c r="G17" s="59"/>
      <c r="H17" s="57"/>
      <c r="I17" s="59"/>
      <c r="J17" s="57"/>
      <c r="K17" s="59"/>
      <c r="L17" s="57"/>
      <c r="M17" s="59"/>
      <c r="N17" s="57"/>
      <c r="O17" s="59"/>
      <c r="P17" s="57"/>
      <c r="Q17" s="59"/>
      <c r="R17" s="57"/>
      <c r="S17" s="59"/>
      <c r="T17" s="57"/>
      <c r="U17" s="59"/>
      <c r="V17" s="57"/>
      <c r="W17" s="102">
        <f>SUM(G17:V18)</f>
        <v>0</v>
      </c>
      <c r="X17" s="1"/>
      <c r="Y17" s="1"/>
      <c r="Z17" s="1"/>
    </row>
    <row r="18" spans="1:26" ht="18" customHeight="1">
      <c r="A18" s="128"/>
      <c r="B18" s="85"/>
      <c r="C18" s="86"/>
      <c r="D18" s="87"/>
      <c r="E18" s="109">
        <v>113</v>
      </c>
      <c r="F18" s="62"/>
      <c r="G18" s="75"/>
      <c r="H18" s="62"/>
      <c r="I18" s="75"/>
      <c r="J18" s="62"/>
      <c r="K18" s="75"/>
      <c r="L18" s="62"/>
      <c r="M18" s="75"/>
      <c r="N18" s="62"/>
      <c r="O18" s="75"/>
      <c r="P18" s="62"/>
      <c r="Q18" s="75"/>
      <c r="R18" s="62"/>
      <c r="S18" s="75"/>
      <c r="T18" s="62"/>
      <c r="U18" s="75"/>
      <c r="V18" s="62"/>
      <c r="W18" s="77"/>
      <c r="X18" s="1"/>
      <c r="Y18" s="1"/>
      <c r="Z18" s="1"/>
    </row>
    <row r="19" spans="1:26" ht="18" customHeight="1">
      <c r="A19" s="127">
        <f>IFERROR(VLOOKUP(B19,'Employee Numbers'!A1:B125,2,FALSE),"")</f>
        <v>1319</v>
      </c>
      <c r="B19" s="88" t="s">
        <v>31</v>
      </c>
      <c r="C19" s="84"/>
      <c r="D19" s="55"/>
      <c r="E19" s="118">
        <v>109</v>
      </c>
      <c r="F19" s="57"/>
      <c r="G19" s="82"/>
      <c r="H19" s="57"/>
      <c r="I19" s="82"/>
      <c r="J19" s="57"/>
      <c r="K19" s="82"/>
      <c r="L19" s="57"/>
      <c r="M19" s="82"/>
      <c r="N19" s="57"/>
      <c r="O19" s="82"/>
      <c r="P19" s="57"/>
      <c r="Q19" s="82"/>
      <c r="R19" s="57"/>
      <c r="S19" s="82"/>
      <c r="T19" s="57"/>
      <c r="U19" s="82"/>
      <c r="V19" s="57"/>
      <c r="W19" s="76">
        <f>SUM(G19:V20)</f>
        <v>0</v>
      </c>
      <c r="X19" s="1"/>
      <c r="Y19" s="1"/>
      <c r="Z19" s="1"/>
    </row>
    <row r="20" spans="1:26" ht="18" customHeight="1">
      <c r="A20" s="128"/>
      <c r="B20" s="85"/>
      <c r="C20" s="86"/>
      <c r="D20" s="87"/>
      <c r="E20" s="105">
        <v>113</v>
      </c>
      <c r="F20" s="62"/>
      <c r="G20" s="73"/>
      <c r="H20" s="62"/>
      <c r="I20" s="73"/>
      <c r="J20" s="62"/>
      <c r="K20" s="73"/>
      <c r="L20" s="62"/>
      <c r="M20" s="73"/>
      <c r="N20" s="62"/>
      <c r="O20" s="73"/>
      <c r="P20" s="62"/>
      <c r="Q20" s="73"/>
      <c r="R20" s="62"/>
      <c r="S20" s="73"/>
      <c r="T20" s="62"/>
      <c r="U20" s="73"/>
      <c r="V20" s="62"/>
      <c r="W20" s="77"/>
      <c r="X20" s="1"/>
      <c r="Y20" s="1"/>
      <c r="Z20" s="1"/>
    </row>
    <row r="21" spans="1:26" ht="18" customHeight="1">
      <c r="A21" s="127">
        <f>IFERROR(VLOOKUP(B21,'Employee Numbers'!A1:B125,2,FALSE),"")</f>
        <v>1927</v>
      </c>
      <c r="B21" s="83" t="s">
        <v>32</v>
      </c>
      <c r="C21" s="84"/>
      <c r="D21" s="55"/>
      <c r="E21" s="117">
        <v>121</v>
      </c>
      <c r="F21" s="57"/>
      <c r="G21" s="59"/>
      <c r="H21" s="57"/>
      <c r="I21" s="59"/>
      <c r="J21" s="57"/>
      <c r="K21" s="59"/>
      <c r="L21" s="57"/>
      <c r="M21" s="59"/>
      <c r="N21" s="57"/>
      <c r="O21" s="59"/>
      <c r="P21" s="57"/>
      <c r="Q21" s="59"/>
      <c r="R21" s="57"/>
      <c r="S21" s="59"/>
      <c r="T21" s="57"/>
      <c r="U21" s="59"/>
      <c r="V21" s="57"/>
      <c r="W21" s="102">
        <f>SUM(G21:V22)</f>
        <v>0</v>
      </c>
      <c r="X21" s="1"/>
      <c r="Y21" s="1"/>
      <c r="Z21" s="1"/>
    </row>
    <row r="22" spans="1:26" ht="18" customHeight="1">
      <c r="A22" s="128"/>
      <c r="B22" s="85"/>
      <c r="C22" s="86"/>
      <c r="D22" s="87"/>
      <c r="E22" s="109">
        <v>113</v>
      </c>
      <c r="F22" s="62"/>
      <c r="G22" s="75"/>
      <c r="H22" s="62"/>
      <c r="I22" s="75"/>
      <c r="J22" s="62"/>
      <c r="K22" s="75"/>
      <c r="L22" s="62"/>
      <c r="M22" s="75"/>
      <c r="N22" s="62"/>
      <c r="O22" s="75"/>
      <c r="P22" s="62"/>
      <c r="Q22" s="75"/>
      <c r="R22" s="62"/>
      <c r="S22" s="75"/>
      <c r="T22" s="62"/>
      <c r="U22" s="75"/>
      <c r="V22" s="62"/>
      <c r="W22" s="77"/>
      <c r="X22" s="1"/>
      <c r="Y22" s="1"/>
      <c r="Z22" s="1"/>
    </row>
    <row r="23" spans="1:26" ht="18" customHeight="1">
      <c r="A23" s="127">
        <f>IFERROR(VLOOKUP(B23,'Employee Numbers'!A1:B125,2,FALSE),"")</f>
        <v>1021</v>
      </c>
      <c r="B23" s="88" t="s">
        <v>33</v>
      </c>
      <c r="C23" s="84"/>
      <c r="D23" s="55"/>
      <c r="E23" s="118">
        <v>121</v>
      </c>
      <c r="F23" s="57"/>
      <c r="G23" s="82"/>
      <c r="H23" s="57"/>
      <c r="I23" s="82"/>
      <c r="J23" s="57"/>
      <c r="K23" s="82"/>
      <c r="L23" s="57"/>
      <c r="M23" s="82"/>
      <c r="N23" s="57"/>
      <c r="O23" s="82"/>
      <c r="P23" s="57"/>
      <c r="Q23" s="82"/>
      <c r="R23" s="57"/>
      <c r="S23" s="82"/>
      <c r="T23" s="57"/>
      <c r="U23" s="82"/>
      <c r="V23" s="57"/>
      <c r="W23" s="76">
        <f>SUM(G23:V24)</f>
        <v>0</v>
      </c>
      <c r="X23" s="1"/>
      <c r="Y23" s="1"/>
      <c r="Z23" s="1"/>
    </row>
    <row r="24" spans="1:26" ht="18" customHeight="1">
      <c r="A24" s="128"/>
      <c r="B24" s="85"/>
      <c r="C24" s="86"/>
      <c r="D24" s="87"/>
      <c r="E24" s="105">
        <v>113</v>
      </c>
      <c r="F24" s="62"/>
      <c r="G24" s="73"/>
      <c r="H24" s="62"/>
      <c r="I24" s="73"/>
      <c r="J24" s="62"/>
      <c r="K24" s="73"/>
      <c r="L24" s="62"/>
      <c r="M24" s="73"/>
      <c r="N24" s="62"/>
      <c r="O24" s="73"/>
      <c r="P24" s="62"/>
      <c r="Q24" s="73"/>
      <c r="R24" s="62"/>
      <c r="S24" s="73"/>
      <c r="T24" s="62"/>
      <c r="U24" s="73"/>
      <c r="V24" s="62"/>
      <c r="W24" s="77"/>
      <c r="X24" s="1"/>
      <c r="Y24" s="1"/>
      <c r="Z24" s="1"/>
    </row>
    <row r="25" spans="1:26" ht="18" customHeight="1">
      <c r="A25" s="127" t="str">
        <f>IFERROR(VLOOKUP(B25,'Employee Numbers'!A1:B125,2,FALSE),"")</f>
        <v/>
      </c>
      <c r="B25" s="83" t="s">
        <v>34</v>
      </c>
      <c r="C25" s="84"/>
      <c r="D25" s="55"/>
      <c r="E25" s="112">
        <v>208</v>
      </c>
      <c r="F25" s="57"/>
      <c r="G25" s="59"/>
      <c r="H25" s="57"/>
      <c r="I25" s="59"/>
      <c r="J25" s="57"/>
      <c r="K25" s="59"/>
      <c r="L25" s="57"/>
      <c r="M25" s="59"/>
      <c r="N25" s="57"/>
      <c r="O25" s="59"/>
      <c r="P25" s="57"/>
      <c r="Q25" s="59"/>
      <c r="R25" s="57"/>
      <c r="S25" s="59"/>
      <c r="T25" s="57"/>
      <c r="U25" s="59"/>
      <c r="V25" s="57"/>
      <c r="W25" s="102">
        <f>SUM(G25:V26)</f>
        <v>0</v>
      </c>
      <c r="X25" s="1"/>
      <c r="Y25" s="1"/>
      <c r="Z25" s="1"/>
    </row>
    <row r="26" spans="1:26" ht="18" customHeight="1">
      <c r="A26" s="128"/>
      <c r="B26" s="85"/>
      <c r="C26" s="86"/>
      <c r="D26" s="87"/>
      <c r="E26" s="109">
        <v>113</v>
      </c>
      <c r="F26" s="62"/>
      <c r="G26" s="75"/>
      <c r="H26" s="62"/>
      <c r="I26" s="75"/>
      <c r="J26" s="62"/>
      <c r="K26" s="75"/>
      <c r="L26" s="62"/>
      <c r="M26" s="75"/>
      <c r="N26" s="62"/>
      <c r="O26" s="75"/>
      <c r="P26" s="62"/>
      <c r="Q26" s="75"/>
      <c r="R26" s="62"/>
      <c r="S26" s="75"/>
      <c r="T26" s="62"/>
      <c r="U26" s="75"/>
      <c r="V26" s="62"/>
      <c r="W26" s="77"/>
      <c r="X26" s="1"/>
      <c r="Y26" s="1"/>
      <c r="Z26" s="1"/>
    </row>
    <row r="27" spans="1:26" ht="18" customHeight="1">
      <c r="A27" s="127">
        <f>IFERROR(VLOOKUP(B27,'Employee Numbers'!A1:B125,2,FALSE),"")</f>
        <v>1171</v>
      </c>
      <c r="B27" s="134" t="s">
        <v>35</v>
      </c>
      <c r="C27" s="104"/>
      <c r="D27" s="72"/>
      <c r="E27" s="113">
        <v>208</v>
      </c>
      <c r="F27" s="57"/>
      <c r="G27" s="82"/>
      <c r="H27" s="57"/>
      <c r="I27" s="82"/>
      <c r="J27" s="57"/>
      <c r="K27" s="82"/>
      <c r="L27" s="57"/>
      <c r="M27" s="82"/>
      <c r="N27" s="57"/>
      <c r="O27" s="82"/>
      <c r="P27" s="57"/>
      <c r="Q27" s="82"/>
      <c r="R27" s="57"/>
      <c r="S27" s="82"/>
      <c r="T27" s="57"/>
      <c r="U27" s="82"/>
      <c r="V27" s="57"/>
      <c r="W27" s="76">
        <f>SUM(G27:V28)</f>
        <v>0</v>
      </c>
      <c r="X27" s="1"/>
      <c r="Y27" s="1"/>
      <c r="Z27" s="1"/>
    </row>
    <row r="28" spans="1:26" ht="18" customHeight="1">
      <c r="A28" s="128"/>
      <c r="B28" s="85"/>
      <c r="C28" s="86"/>
      <c r="D28" s="87"/>
      <c r="E28" s="105">
        <v>113</v>
      </c>
      <c r="F28" s="62"/>
      <c r="G28" s="73"/>
      <c r="H28" s="62"/>
      <c r="I28" s="73"/>
      <c r="J28" s="62"/>
      <c r="K28" s="73"/>
      <c r="L28" s="62"/>
      <c r="M28" s="73"/>
      <c r="N28" s="62"/>
      <c r="O28" s="73"/>
      <c r="P28" s="62"/>
      <c r="Q28" s="73"/>
      <c r="R28" s="62"/>
      <c r="S28" s="73"/>
      <c r="T28" s="62"/>
      <c r="U28" s="73"/>
      <c r="V28" s="62"/>
      <c r="W28" s="77"/>
      <c r="X28" s="1"/>
      <c r="Y28" s="1"/>
      <c r="Z28" s="1"/>
    </row>
    <row r="29" spans="1:26" ht="18" customHeight="1">
      <c r="A29" s="127" t="str">
        <f>IFERROR(VLOOKUP(B29,'Employee Numbers'!A1:B125,2,FALSE),"")</f>
        <v/>
      </c>
      <c r="B29" s="83"/>
      <c r="C29" s="84"/>
      <c r="D29" s="55"/>
      <c r="E29" s="112"/>
      <c r="F29" s="57"/>
      <c r="G29" s="59"/>
      <c r="H29" s="57"/>
      <c r="I29" s="59"/>
      <c r="J29" s="57"/>
      <c r="K29" s="59"/>
      <c r="L29" s="57"/>
      <c r="M29" s="59"/>
      <c r="N29" s="57"/>
      <c r="O29" s="59"/>
      <c r="P29" s="57"/>
      <c r="Q29" s="59"/>
      <c r="R29" s="57"/>
      <c r="S29" s="59"/>
      <c r="T29" s="57"/>
      <c r="U29" s="59"/>
      <c r="V29" s="57"/>
      <c r="W29" s="102">
        <f>SUM(G29:V30)</f>
        <v>0</v>
      </c>
      <c r="X29" s="1"/>
      <c r="Y29" s="1"/>
      <c r="Z29" s="1"/>
    </row>
    <row r="30" spans="1:26" ht="18" customHeight="1">
      <c r="A30" s="128"/>
      <c r="B30" s="85"/>
      <c r="C30" s="86"/>
      <c r="D30" s="87"/>
      <c r="E30" s="164">
        <v>113</v>
      </c>
      <c r="F30" s="62"/>
      <c r="G30" s="75"/>
      <c r="H30" s="62"/>
      <c r="I30" s="75"/>
      <c r="J30" s="62"/>
      <c r="K30" s="75"/>
      <c r="L30" s="62"/>
      <c r="M30" s="75"/>
      <c r="N30" s="62"/>
      <c r="O30" s="75"/>
      <c r="P30" s="62"/>
      <c r="Q30" s="75"/>
      <c r="R30" s="62"/>
      <c r="S30" s="75"/>
      <c r="T30" s="62"/>
      <c r="U30" s="75"/>
      <c r="V30" s="62"/>
      <c r="W30" s="77"/>
      <c r="X30" s="1"/>
      <c r="Y30" s="1"/>
      <c r="Z30" s="1"/>
    </row>
    <row r="31" spans="1:26" ht="18" customHeight="1">
      <c r="A31" s="127" t="str">
        <f>IFERROR(VLOOKUP(B31,'Employee Numbers'!A1:B125,2,FALSE),"")</f>
        <v/>
      </c>
      <c r="B31" s="88" t="s">
        <v>36</v>
      </c>
      <c r="C31" s="84"/>
      <c r="D31" s="55"/>
      <c r="E31" s="113">
        <v>208</v>
      </c>
      <c r="F31" s="57"/>
      <c r="G31" s="82"/>
      <c r="H31" s="57"/>
      <c r="I31" s="82"/>
      <c r="J31" s="57"/>
      <c r="K31" s="82"/>
      <c r="L31" s="57"/>
      <c r="M31" s="82"/>
      <c r="N31" s="57"/>
      <c r="O31" s="82"/>
      <c r="P31" s="57"/>
      <c r="Q31" s="82"/>
      <c r="R31" s="57"/>
      <c r="S31" s="82"/>
      <c r="T31" s="57"/>
      <c r="U31" s="82"/>
      <c r="V31" s="57"/>
      <c r="W31" s="76">
        <f>SUM(G31:V32)</f>
        <v>0</v>
      </c>
      <c r="X31" s="1"/>
      <c r="Y31" s="1"/>
      <c r="Z31" s="1"/>
    </row>
    <row r="32" spans="1:26" ht="18" customHeight="1">
      <c r="A32" s="128"/>
      <c r="B32" s="85"/>
      <c r="C32" s="86"/>
      <c r="D32" s="87"/>
      <c r="E32" s="175">
        <v>113</v>
      </c>
      <c r="F32" s="62"/>
      <c r="G32" s="73"/>
      <c r="H32" s="62"/>
      <c r="I32" s="73"/>
      <c r="J32" s="62"/>
      <c r="K32" s="73"/>
      <c r="L32" s="62"/>
      <c r="M32" s="73"/>
      <c r="N32" s="62"/>
      <c r="O32" s="73"/>
      <c r="P32" s="62"/>
      <c r="Q32" s="73"/>
      <c r="R32" s="62"/>
      <c r="S32" s="73"/>
      <c r="T32" s="62"/>
      <c r="U32" s="73"/>
      <c r="V32" s="62"/>
      <c r="W32" s="77"/>
      <c r="X32" s="1"/>
      <c r="Y32" s="1"/>
      <c r="Z32" s="1"/>
    </row>
    <row r="33" spans="1:26" ht="18" customHeight="1">
      <c r="A33" s="127" t="str">
        <f>IFERROR(VLOOKUP(B33,'Employee Numbers'!A1:B125,2,FALSE),"")</f>
        <v/>
      </c>
      <c r="B33" s="83" t="s">
        <v>37</v>
      </c>
      <c r="C33" s="84"/>
      <c r="D33" s="55"/>
      <c r="E33" s="112">
        <v>208</v>
      </c>
      <c r="F33" s="57"/>
      <c r="G33" s="59"/>
      <c r="H33" s="57"/>
      <c r="I33" s="59"/>
      <c r="J33" s="57"/>
      <c r="K33" s="59"/>
      <c r="L33" s="57"/>
      <c r="M33" s="59"/>
      <c r="N33" s="57"/>
      <c r="O33" s="59"/>
      <c r="P33" s="57"/>
      <c r="Q33" s="59"/>
      <c r="R33" s="57"/>
      <c r="S33" s="59"/>
      <c r="T33" s="57"/>
      <c r="U33" s="59"/>
      <c r="V33" s="57"/>
      <c r="W33" s="102">
        <f>SUM(G33:V34)</f>
        <v>0</v>
      </c>
      <c r="X33" s="1"/>
      <c r="Y33" s="1"/>
      <c r="Z33" s="1"/>
    </row>
    <row r="34" spans="1:26" ht="18" customHeight="1">
      <c r="A34" s="128"/>
      <c r="B34" s="85"/>
      <c r="C34" s="86"/>
      <c r="D34" s="87"/>
      <c r="E34" s="164">
        <v>113</v>
      </c>
      <c r="F34" s="62"/>
      <c r="G34" s="75"/>
      <c r="H34" s="62"/>
      <c r="I34" s="75"/>
      <c r="J34" s="62"/>
      <c r="K34" s="75"/>
      <c r="L34" s="62"/>
      <c r="M34" s="75"/>
      <c r="N34" s="62"/>
      <c r="O34" s="75"/>
      <c r="P34" s="62"/>
      <c r="Q34" s="75"/>
      <c r="R34" s="62"/>
      <c r="S34" s="75"/>
      <c r="T34" s="62"/>
      <c r="U34" s="75"/>
      <c r="V34" s="62"/>
      <c r="W34" s="77"/>
      <c r="X34" s="1"/>
      <c r="Y34" s="1"/>
      <c r="Z34" s="1"/>
    </row>
    <row r="35" spans="1:26" ht="18" customHeight="1">
      <c r="A35" s="127"/>
      <c r="B35" s="157" t="s">
        <v>19</v>
      </c>
      <c r="C35" s="84"/>
      <c r="D35" s="84"/>
      <c r="E35" s="84"/>
      <c r="F35" s="55"/>
      <c r="G35" s="139">
        <f>SUM(G11:H34)</f>
        <v>0</v>
      </c>
      <c r="H35" s="55"/>
      <c r="I35" s="139">
        <f>SUM(I11:J34)</f>
        <v>0</v>
      </c>
      <c r="J35" s="55"/>
      <c r="K35" s="139">
        <f>SUM(K11:L34)</f>
        <v>0</v>
      </c>
      <c r="L35" s="55"/>
      <c r="M35" s="139">
        <f>SUM(M11:N34)</f>
        <v>0</v>
      </c>
      <c r="N35" s="55"/>
      <c r="O35" s="139">
        <f>SUM(O11:P34)</f>
        <v>0</v>
      </c>
      <c r="P35" s="55"/>
      <c r="Q35" s="139">
        <f>SUM(Q11:R34)</f>
        <v>0</v>
      </c>
      <c r="R35" s="55"/>
      <c r="S35" s="139">
        <f>SUM(S11:T34)</f>
        <v>0</v>
      </c>
      <c r="T35" s="55"/>
      <c r="U35" s="139">
        <f>SUM(U11:V34)</f>
        <v>0</v>
      </c>
      <c r="V35" s="55"/>
      <c r="W35" s="76"/>
      <c r="X35" s="8"/>
      <c r="Y35" s="8"/>
      <c r="Z35" s="8"/>
    </row>
    <row r="36" spans="1:26" ht="18" customHeight="1">
      <c r="A36" s="128"/>
      <c r="B36" s="85"/>
      <c r="C36" s="86"/>
      <c r="D36" s="86"/>
      <c r="E36" s="86"/>
      <c r="F36" s="87"/>
      <c r="G36" s="85"/>
      <c r="H36" s="87"/>
      <c r="I36" s="85"/>
      <c r="J36" s="87"/>
      <c r="K36" s="85"/>
      <c r="L36" s="87"/>
      <c r="M36" s="85"/>
      <c r="N36" s="87"/>
      <c r="O36" s="85"/>
      <c r="P36" s="87"/>
      <c r="Q36" s="85"/>
      <c r="R36" s="87"/>
      <c r="S36" s="85"/>
      <c r="T36" s="87"/>
      <c r="U36" s="85"/>
      <c r="V36" s="87"/>
      <c r="W36" s="77"/>
      <c r="X36" s="8"/>
      <c r="Y36" s="8"/>
      <c r="Z36" s="8"/>
    </row>
    <row r="37" spans="1:26" ht="24" customHeight="1">
      <c r="A37" s="9" t="s">
        <v>38</v>
      </c>
      <c r="B37" s="43" t="s">
        <v>39</v>
      </c>
      <c r="C37" s="43" t="s">
        <v>40</v>
      </c>
      <c r="D37" s="129" t="s">
        <v>41</v>
      </c>
      <c r="E37" s="70"/>
      <c r="F37" s="57"/>
      <c r="G37" s="10" t="s">
        <v>42</v>
      </c>
      <c r="H37" s="11" t="s">
        <v>43</v>
      </c>
      <c r="I37" s="10" t="s">
        <v>42</v>
      </c>
      <c r="J37" s="11" t="s">
        <v>43</v>
      </c>
      <c r="K37" s="10" t="s">
        <v>42</v>
      </c>
      <c r="L37" s="11" t="s">
        <v>43</v>
      </c>
      <c r="M37" s="10" t="s">
        <v>42</v>
      </c>
      <c r="N37" s="11" t="s">
        <v>43</v>
      </c>
      <c r="O37" s="10" t="s">
        <v>42</v>
      </c>
      <c r="P37" s="11" t="s">
        <v>43</v>
      </c>
      <c r="Q37" s="10" t="s">
        <v>42</v>
      </c>
      <c r="R37" s="11" t="s">
        <v>43</v>
      </c>
      <c r="S37" s="10" t="s">
        <v>42</v>
      </c>
      <c r="T37" s="11" t="s">
        <v>43</v>
      </c>
      <c r="U37" s="159" t="s">
        <v>43</v>
      </c>
      <c r="V37" s="57"/>
      <c r="W37" s="12" t="s">
        <v>19</v>
      </c>
      <c r="X37" s="8"/>
      <c r="Y37" s="8"/>
      <c r="Z37" s="8"/>
    </row>
    <row r="38" spans="1:26" ht="18" customHeight="1">
      <c r="A38" s="13" t="s">
        <v>44</v>
      </c>
      <c r="B38" s="14">
        <v>122</v>
      </c>
      <c r="C38" s="15"/>
      <c r="D38" s="138"/>
      <c r="E38" s="64"/>
      <c r="F38" s="65"/>
      <c r="G38" s="16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6"/>
      <c r="T38" s="17"/>
      <c r="U38" s="130"/>
      <c r="V38" s="65"/>
      <c r="W38" s="18">
        <f t="shared" ref="W38:W46" si="0">SUM(G38:V38)</f>
        <v>0</v>
      </c>
      <c r="X38" s="1"/>
      <c r="Y38" s="1"/>
      <c r="Z38" s="1"/>
    </row>
    <row r="39" spans="1:26" ht="18" customHeight="1">
      <c r="A39" s="44" t="s">
        <v>45</v>
      </c>
      <c r="B39" s="19">
        <v>302</v>
      </c>
      <c r="C39" s="20"/>
      <c r="D39" s="94"/>
      <c r="E39" s="84"/>
      <c r="F39" s="55"/>
      <c r="G39" s="21"/>
      <c r="H39" s="22"/>
      <c r="I39" s="21"/>
      <c r="J39" s="22"/>
      <c r="K39" s="21"/>
      <c r="L39" s="22"/>
      <c r="M39" s="21"/>
      <c r="N39" s="22"/>
      <c r="O39" s="21"/>
      <c r="P39" s="22"/>
      <c r="Q39" s="21"/>
      <c r="R39" s="22"/>
      <c r="S39" s="21"/>
      <c r="T39" s="22"/>
      <c r="U39" s="179"/>
      <c r="V39" s="57"/>
      <c r="W39" s="23">
        <f t="shared" si="0"/>
        <v>0</v>
      </c>
      <c r="X39" s="1"/>
      <c r="Y39" s="1"/>
      <c r="Z39" s="1"/>
    </row>
    <row r="40" spans="1:26" ht="18" customHeight="1">
      <c r="A40" s="13" t="s">
        <v>46</v>
      </c>
      <c r="B40" s="14">
        <v>412</v>
      </c>
      <c r="C40" s="15"/>
      <c r="D40" s="138"/>
      <c r="E40" s="64"/>
      <c r="F40" s="65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6"/>
      <c r="T40" s="17"/>
      <c r="U40" s="165"/>
      <c r="V40" s="57"/>
      <c r="W40" s="18">
        <f t="shared" si="0"/>
        <v>0</v>
      </c>
      <c r="X40" s="1"/>
      <c r="Y40" s="1"/>
      <c r="Z40" s="1"/>
    </row>
    <row r="41" spans="1:26" ht="18" customHeight="1">
      <c r="A41" s="44" t="s">
        <v>47</v>
      </c>
      <c r="B41" s="19">
        <v>630</v>
      </c>
      <c r="C41" s="20"/>
      <c r="D41" s="94"/>
      <c r="E41" s="84"/>
      <c r="F41" s="55"/>
      <c r="G41" s="21"/>
      <c r="H41" s="22"/>
      <c r="I41" s="21"/>
      <c r="J41" s="22"/>
      <c r="K41" s="21"/>
      <c r="L41" s="22"/>
      <c r="M41" s="21"/>
      <c r="N41" s="22"/>
      <c r="O41" s="21"/>
      <c r="P41" s="22"/>
      <c r="Q41" s="21"/>
      <c r="R41" s="22"/>
      <c r="S41" s="21"/>
      <c r="T41" s="22"/>
      <c r="U41" s="141"/>
      <c r="V41" s="55"/>
      <c r="W41" s="23">
        <f t="shared" si="0"/>
        <v>0</v>
      </c>
      <c r="X41" s="1"/>
      <c r="Y41" s="1"/>
      <c r="Z41" s="1"/>
    </row>
    <row r="42" spans="1:26" ht="18" customHeight="1">
      <c r="A42" s="13" t="s">
        <v>48</v>
      </c>
      <c r="B42" s="14">
        <v>947</v>
      </c>
      <c r="C42" s="15"/>
      <c r="D42" s="138"/>
      <c r="E42" s="64"/>
      <c r="F42" s="65"/>
      <c r="G42" s="16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6"/>
      <c r="T42" s="17"/>
      <c r="U42" s="130"/>
      <c r="V42" s="65"/>
      <c r="W42" s="18">
        <f t="shared" si="0"/>
        <v>0</v>
      </c>
      <c r="X42" s="1"/>
      <c r="Y42" s="1"/>
      <c r="Z42" s="1"/>
    </row>
    <row r="43" spans="1:26" ht="18" customHeight="1">
      <c r="A43" s="44"/>
      <c r="B43" s="19"/>
      <c r="C43" s="20"/>
      <c r="D43" s="94"/>
      <c r="E43" s="84"/>
      <c r="F43" s="55"/>
      <c r="G43" s="21"/>
      <c r="H43" s="22"/>
      <c r="I43" s="21"/>
      <c r="J43" s="22"/>
      <c r="K43" s="21"/>
      <c r="L43" s="22"/>
      <c r="M43" s="21"/>
      <c r="N43" s="22"/>
      <c r="O43" s="21"/>
      <c r="P43" s="22"/>
      <c r="Q43" s="21"/>
      <c r="R43" s="22"/>
      <c r="S43" s="21"/>
      <c r="T43" s="22"/>
      <c r="U43" s="141"/>
      <c r="V43" s="55"/>
      <c r="W43" s="23">
        <f t="shared" si="0"/>
        <v>0</v>
      </c>
      <c r="X43" s="1"/>
      <c r="Y43" s="1"/>
      <c r="Z43" s="1"/>
    </row>
    <row r="44" spans="1:26" ht="18" customHeight="1">
      <c r="A44" s="13"/>
      <c r="B44" s="14"/>
      <c r="C44" s="15"/>
      <c r="D44" s="138"/>
      <c r="E44" s="64"/>
      <c r="F44" s="65"/>
      <c r="G44" s="16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6"/>
      <c r="T44" s="17"/>
      <c r="U44" s="130"/>
      <c r="V44" s="65"/>
      <c r="W44" s="18">
        <f t="shared" si="0"/>
        <v>0</v>
      </c>
      <c r="X44" s="1"/>
      <c r="Y44" s="1"/>
      <c r="Z44" s="1"/>
    </row>
    <row r="45" spans="1:26" ht="18" customHeight="1">
      <c r="A45" s="44"/>
      <c r="B45" s="19"/>
      <c r="C45" s="20"/>
      <c r="D45" s="94"/>
      <c r="E45" s="84"/>
      <c r="F45" s="55"/>
      <c r="G45" s="21"/>
      <c r="H45" s="22"/>
      <c r="I45" s="21"/>
      <c r="J45" s="22"/>
      <c r="K45" s="21"/>
      <c r="L45" s="22"/>
      <c r="M45" s="21"/>
      <c r="N45" s="22"/>
      <c r="O45" s="21"/>
      <c r="P45" s="22"/>
      <c r="Q45" s="21"/>
      <c r="R45" s="22"/>
      <c r="S45" s="21"/>
      <c r="T45" s="22"/>
      <c r="U45" s="141"/>
      <c r="V45" s="55"/>
      <c r="W45" s="23">
        <f t="shared" si="0"/>
        <v>0</v>
      </c>
      <c r="X45" s="1"/>
      <c r="Y45" s="1"/>
      <c r="Z45" s="1"/>
    </row>
    <row r="46" spans="1:26" ht="18" customHeight="1">
      <c r="A46" s="13"/>
      <c r="B46" s="24"/>
      <c r="C46" s="15"/>
      <c r="D46" s="138"/>
      <c r="E46" s="64"/>
      <c r="F46" s="65"/>
      <c r="G46" s="16"/>
      <c r="H46" s="17"/>
      <c r="I46" s="16"/>
      <c r="J46" s="17"/>
      <c r="K46" s="16"/>
      <c r="L46" s="17"/>
      <c r="M46" s="16"/>
      <c r="N46" s="17"/>
      <c r="O46" s="16"/>
      <c r="P46" s="17"/>
      <c r="Q46" s="16"/>
      <c r="R46" s="17"/>
      <c r="S46" s="16"/>
      <c r="T46" s="17"/>
      <c r="U46" s="130"/>
      <c r="V46" s="65"/>
      <c r="W46" s="18">
        <f t="shared" si="0"/>
        <v>0</v>
      </c>
      <c r="X46" s="1"/>
      <c r="Y46" s="1"/>
      <c r="Z46" s="1"/>
    </row>
    <row r="47" spans="1:26" ht="18" customHeight="1">
      <c r="A47" s="25"/>
      <c r="B47" s="167" t="s">
        <v>19</v>
      </c>
      <c r="C47" s="61"/>
      <c r="D47" s="61"/>
      <c r="E47" s="61"/>
      <c r="F47" s="62"/>
      <c r="G47" s="132">
        <f>SUM(G38:H46)</f>
        <v>0</v>
      </c>
      <c r="H47" s="62"/>
      <c r="I47" s="132">
        <f>SUM(I38:J46)</f>
        <v>0</v>
      </c>
      <c r="J47" s="62"/>
      <c r="K47" s="132">
        <f>SUM(K38:L46)</f>
        <v>0</v>
      </c>
      <c r="L47" s="62"/>
      <c r="M47" s="132">
        <f>SUM(M38:N46)</f>
        <v>0</v>
      </c>
      <c r="N47" s="62"/>
      <c r="O47" s="132">
        <f>SUM(O38:P46)</f>
        <v>0</v>
      </c>
      <c r="P47" s="62"/>
      <c r="Q47" s="132">
        <f>SUM(Q38:R46)</f>
        <v>0</v>
      </c>
      <c r="R47" s="62"/>
      <c r="S47" s="132">
        <f>SUM(S38:T46)</f>
        <v>0</v>
      </c>
      <c r="T47" s="62"/>
      <c r="U47" s="135"/>
      <c r="V47" s="62"/>
      <c r="W47" s="26"/>
      <c r="X47" s="1"/>
      <c r="Y47" s="1"/>
      <c r="Z47" s="1"/>
    </row>
    <row r="48" spans="1:26" ht="18" customHeight="1">
      <c r="A48" s="146" t="s">
        <v>49</v>
      </c>
      <c r="B48" s="79"/>
      <c r="C48" s="80"/>
      <c r="D48" s="78" t="s">
        <v>50</v>
      </c>
      <c r="E48" s="79"/>
      <c r="F48" s="80"/>
      <c r="G48" s="78" t="s">
        <v>51</v>
      </c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80"/>
      <c r="W48" s="28" t="s">
        <v>19</v>
      </c>
      <c r="X48" s="29"/>
      <c r="Y48" s="29"/>
      <c r="Z48" s="29"/>
    </row>
    <row r="49" spans="1:26" ht="18" customHeight="1">
      <c r="A49" s="96"/>
      <c r="B49" s="98"/>
      <c r="C49" s="30"/>
      <c r="D49" s="100"/>
      <c r="E49" s="97"/>
      <c r="F49" s="98"/>
      <c r="G49" s="81"/>
      <c r="H49" s="57"/>
      <c r="I49" s="81"/>
      <c r="J49" s="57"/>
      <c r="K49" s="81"/>
      <c r="L49" s="57"/>
      <c r="M49" s="81"/>
      <c r="N49" s="57"/>
      <c r="O49" s="81"/>
      <c r="P49" s="57"/>
      <c r="Q49" s="81"/>
      <c r="R49" s="57"/>
      <c r="S49" s="81"/>
      <c r="T49" s="57"/>
      <c r="U49" s="81"/>
      <c r="V49" s="57"/>
      <c r="W49" s="31">
        <f>SUM(G49:V49)</f>
        <v>0</v>
      </c>
      <c r="X49" s="1"/>
      <c r="Y49" s="1"/>
      <c r="Z49" s="1"/>
    </row>
    <row r="50" spans="1:26" ht="18" customHeight="1">
      <c r="A50" s="101"/>
      <c r="B50" s="57"/>
      <c r="C50" s="32"/>
      <c r="D50" s="145"/>
      <c r="E50" s="64"/>
      <c r="F50" s="65"/>
      <c r="G50" s="176"/>
      <c r="H50" s="57"/>
      <c r="I50" s="92"/>
      <c r="J50" s="65"/>
      <c r="K50" s="92"/>
      <c r="L50" s="65"/>
      <c r="M50" s="92"/>
      <c r="N50" s="65"/>
      <c r="O50" s="92"/>
      <c r="P50" s="65"/>
      <c r="Q50" s="92"/>
      <c r="R50" s="65"/>
      <c r="S50" s="92"/>
      <c r="T50" s="65"/>
      <c r="U50" s="92"/>
      <c r="V50" s="65"/>
      <c r="W50" s="33">
        <f>SUM(G50:V50)</f>
        <v>0</v>
      </c>
      <c r="X50" s="1"/>
      <c r="Y50" s="1"/>
      <c r="Z50" s="1"/>
    </row>
    <row r="51" spans="1:26" ht="18" customHeight="1">
      <c r="A51" s="58"/>
      <c r="B51" s="57"/>
      <c r="C51" s="34"/>
      <c r="D51" s="114"/>
      <c r="E51" s="64"/>
      <c r="F51" s="65"/>
      <c r="G51" s="81"/>
      <c r="H51" s="57"/>
      <c r="I51" s="93"/>
      <c r="J51" s="65"/>
      <c r="K51" s="93"/>
      <c r="L51" s="65"/>
      <c r="M51" s="93"/>
      <c r="N51" s="65"/>
      <c r="O51" s="93"/>
      <c r="P51" s="65"/>
      <c r="Q51" s="93"/>
      <c r="R51" s="65"/>
      <c r="S51" s="93"/>
      <c r="T51" s="65"/>
      <c r="U51" s="93"/>
      <c r="V51" s="65"/>
      <c r="W51" s="31">
        <f>SUM(G51:V51)</f>
        <v>0</v>
      </c>
      <c r="X51" s="1"/>
      <c r="Y51" s="1"/>
      <c r="Z51" s="1"/>
    </row>
    <row r="52" spans="1:26" ht="18" customHeight="1">
      <c r="A52" s="101"/>
      <c r="B52" s="57"/>
      <c r="C52" s="32"/>
      <c r="D52" s="181"/>
      <c r="E52" s="64"/>
      <c r="F52" s="65"/>
      <c r="G52" s="176"/>
      <c r="H52" s="57"/>
      <c r="I52" s="92"/>
      <c r="J52" s="65"/>
      <c r="K52" s="92"/>
      <c r="L52" s="65"/>
      <c r="M52" s="92"/>
      <c r="N52" s="65"/>
      <c r="O52" s="92"/>
      <c r="P52" s="65"/>
      <c r="Q52" s="92"/>
      <c r="R52" s="65"/>
      <c r="S52" s="92"/>
      <c r="T52" s="65"/>
      <c r="U52" s="92"/>
      <c r="V52" s="65"/>
      <c r="W52" s="33">
        <f>SUM(G52:V52)</f>
        <v>0</v>
      </c>
      <c r="X52" s="1"/>
      <c r="Y52" s="1"/>
      <c r="Z52" s="1"/>
    </row>
    <row r="53" spans="1:26" ht="18" customHeight="1">
      <c r="A53" s="155"/>
      <c r="B53" s="87"/>
      <c r="C53" s="35"/>
      <c r="D53" s="60"/>
      <c r="E53" s="61"/>
      <c r="F53" s="62"/>
      <c r="G53" s="81"/>
      <c r="H53" s="57"/>
      <c r="I53" s="131"/>
      <c r="J53" s="62"/>
      <c r="K53" s="131"/>
      <c r="L53" s="62"/>
      <c r="M53" s="131"/>
      <c r="N53" s="62"/>
      <c r="O53" s="131"/>
      <c r="P53" s="62"/>
      <c r="Q53" s="131"/>
      <c r="R53" s="62"/>
      <c r="S53" s="131"/>
      <c r="T53" s="62"/>
      <c r="U53" s="131"/>
      <c r="V53" s="62"/>
      <c r="W53" s="31">
        <f>SUM(G53:V53)</f>
        <v>0</v>
      </c>
      <c r="X53" s="1"/>
      <c r="Y53" s="1"/>
      <c r="Z53" s="1"/>
    </row>
    <row r="54" spans="1:26" ht="18" customHeight="1">
      <c r="A54" s="160" t="s">
        <v>52</v>
      </c>
      <c r="B54" s="86"/>
      <c r="C54" s="87"/>
      <c r="D54" s="78" t="s">
        <v>50</v>
      </c>
      <c r="E54" s="79"/>
      <c r="F54" s="80"/>
      <c r="G54" s="78" t="s">
        <v>53</v>
      </c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80"/>
      <c r="W54" s="28" t="s">
        <v>19</v>
      </c>
      <c r="X54" s="29"/>
      <c r="Y54" s="29"/>
      <c r="Z54" s="29"/>
    </row>
    <row r="55" spans="1:26" ht="18" customHeight="1">
      <c r="A55" s="96"/>
      <c r="B55" s="97"/>
      <c r="C55" s="98"/>
      <c r="D55" s="100"/>
      <c r="E55" s="97"/>
      <c r="F55" s="98"/>
      <c r="G55" s="81"/>
      <c r="H55" s="57"/>
      <c r="I55" s="81"/>
      <c r="J55" s="57"/>
      <c r="K55" s="81"/>
      <c r="L55" s="57"/>
      <c r="M55" s="81"/>
      <c r="N55" s="57"/>
      <c r="O55" s="81"/>
      <c r="P55" s="57"/>
      <c r="Q55" s="81"/>
      <c r="R55" s="57"/>
      <c r="S55" s="81"/>
      <c r="T55" s="57"/>
      <c r="U55" s="81"/>
      <c r="V55" s="57"/>
      <c r="W55" s="31">
        <f t="shared" ref="W55:W60" si="1">SUM(G55:V55)</f>
        <v>0</v>
      </c>
      <c r="X55" s="1"/>
      <c r="Y55" s="1"/>
      <c r="Z55" s="1"/>
    </row>
    <row r="56" spans="1:26" ht="18" customHeight="1">
      <c r="A56" s="162"/>
      <c r="B56" s="64"/>
      <c r="C56" s="65"/>
      <c r="D56" s="145"/>
      <c r="E56" s="64"/>
      <c r="F56" s="65"/>
      <c r="G56" s="92"/>
      <c r="H56" s="65"/>
      <c r="I56" s="92"/>
      <c r="J56" s="65"/>
      <c r="K56" s="92"/>
      <c r="L56" s="65"/>
      <c r="M56" s="92"/>
      <c r="N56" s="65"/>
      <c r="O56" s="92"/>
      <c r="P56" s="65"/>
      <c r="Q56" s="92"/>
      <c r="R56" s="65"/>
      <c r="S56" s="92"/>
      <c r="T56" s="65"/>
      <c r="U56" s="92"/>
      <c r="V56" s="65"/>
      <c r="W56" s="33">
        <f t="shared" si="1"/>
        <v>0</v>
      </c>
      <c r="X56" s="1"/>
      <c r="Y56" s="1"/>
      <c r="Z56" s="1"/>
    </row>
    <row r="57" spans="1:26" ht="18" customHeight="1">
      <c r="A57" s="63"/>
      <c r="B57" s="64"/>
      <c r="C57" s="65"/>
      <c r="D57" s="142"/>
      <c r="E57" s="64"/>
      <c r="F57" s="65"/>
      <c r="G57" s="93"/>
      <c r="H57" s="65"/>
      <c r="I57" s="93"/>
      <c r="J57" s="65"/>
      <c r="K57" s="93"/>
      <c r="L57" s="65"/>
      <c r="M57" s="93"/>
      <c r="N57" s="65"/>
      <c r="O57" s="93"/>
      <c r="P57" s="65"/>
      <c r="Q57" s="93"/>
      <c r="R57" s="65"/>
      <c r="S57" s="93"/>
      <c r="T57" s="65"/>
      <c r="U57" s="93"/>
      <c r="V57" s="65"/>
      <c r="W57" s="31">
        <f t="shared" si="1"/>
        <v>0</v>
      </c>
      <c r="X57" s="1"/>
      <c r="Y57" s="1"/>
      <c r="Z57" s="1"/>
    </row>
    <row r="58" spans="1:26" ht="18" customHeight="1">
      <c r="A58" s="101"/>
      <c r="B58" s="70"/>
      <c r="C58" s="57"/>
      <c r="D58" s="145"/>
      <c r="E58" s="64"/>
      <c r="F58" s="65"/>
      <c r="G58" s="92"/>
      <c r="H58" s="65"/>
      <c r="I58" s="92"/>
      <c r="J58" s="65"/>
      <c r="K58" s="92"/>
      <c r="L58" s="65"/>
      <c r="M58" s="92"/>
      <c r="N58" s="65"/>
      <c r="O58" s="92"/>
      <c r="P58" s="65"/>
      <c r="Q58" s="92"/>
      <c r="R58" s="65"/>
      <c r="S58" s="92"/>
      <c r="T58" s="65"/>
      <c r="U58" s="92"/>
      <c r="V58" s="65"/>
      <c r="W58" s="33">
        <f t="shared" si="1"/>
        <v>0</v>
      </c>
      <c r="X58" s="1"/>
      <c r="Y58" s="1"/>
      <c r="Z58" s="1"/>
    </row>
    <row r="59" spans="1:26" ht="18" customHeight="1">
      <c r="A59" s="63"/>
      <c r="B59" s="64"/>
      <c r="C59" s="65"/>
      <c r="D59" s="142"/>
      <c r="E59" s="64"/>
      <c r="F59" s="65"/>
      <c r="G59" s="93"/>
      <c r="H59" s="65"/>
      <c r="I59" s="93"/>
      <c r="J59" s="65"/>
      <c r="K59" s="93"/>
      <c r="L59" s="65"/>
      <c r="M59" s="93"/>
      <c r="N59" s="65"/>
      <c r="O59" s="93"/>
      <c r="P59" s="65"/>
      <c r="Q59" s="93"/>
      <c r="R59" s="65"/>
      <c r="S59" s="93"/>
      <c r="T59" s="65"/>
      <c r="U59" s="93"/>
      <c r="V59" s="65"/>
      <c r="W59" s="31">
        <f t="shared" si="1"/>
        <v>0</v>
      </c>
      <c r="X59" s="1"/>
      <c r="Y59" s="1"/>
      <c r="Z59" s="1"/>
    </row>
    <row r="60" spans="1:26" ht="18" customHeight="1">
      <c r="A60" s="101"/>
      <c r="B60" s="70"/>
      <c r="C60" s="57"/>
      <c r="D60" s="158"/>
      <c r="E60" s="86"/>
      <c r="F60" s="87"/>
      <c r="G60" s="66"/>
      <c r="H60" s="62"/>
      <c r="I60" s="66"/>
      <c r="J60" s="62"/>
      <c r="K60" s="66"/>
      <c r="L60" s="62"/>
      <c r="M60" s="66"/>
      <c r="N60" s="62"/>
      <c r="O60" s="66"/>
      <c r="P60" s="62"/>
      <c r="Q60" s="66"/>
      <c r="R60" s="62"/>
      <c r="S60" s="66"/>
      <c r="T60" s="62"/>
      <c r="U60" s="66"/>
      <c r="V60" s="62"/>
      <c r="W60" s="33">
        <f t="shared" si="1"/>
        <v>0</v>
      </c>
      <c r="X60" s="1"/>
      <c r="Y60" s="1"/>
      <c r="Z60" s="1"/>
    </row>
    <row r="61" spans="1:26" ht="18" customHeight="1">
      <c r="A61" s="146" t="s">
        <v>54</v>
      </c>
      <c r="B61" s="79"/>
      <c r="C61" s="80"/>
      <c r="D61" s="78" t="s">
        <v>55</v>
      </c>
      <c r="E61" s="79"/>
      <c r="F61" s="80"/>
      <c r="G61" s="78" t="s">
        <v>56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80"/>
      <c r="W61" s="28" t="s">
        <v>19</v>
      </c>
      <c r="X61" s="29"/>
      <c r="Y61" s="29"/>
      <c r="Z61" s="29"/>
    </row>
    <row r="62" spans="1:26" ht="18" customHeight="1">
      <c r="A62" s="58"/>
      <c r="B62" s="70"/>
      <c r="C62" s="57"/>
      <c r="D62" s="99"/>
      <c r="E62" s="70"/>
      <c r="F62" s="57"/>
      <c r="G62" s="99"/>
      <c r="H62" s="57"/>
      <c r="I62" s="99"/>
      <c r="J62" s="57"/>
      <c r="K62" s="99"/>
      <c r="L62" s="57"/>
      <c r="M62" s="99"/>
      <c r="N62" s="57"/>
      <c r="O62" s="99"/>
      <c r="P62" s="57"/>
      <c r="Q62" s="99"/>
      <c r="R62" s="57"/>
      <c r="S62" s="99"/>
      <c r="T62" s="57"/>
      <c r="U62" s="99"/>
      <c r="V62" s="57"/>
      <c r="W62" s="31">
        <f>SUM(G62:V62)</f>
        <v>0</v>
      </c>
      <c r="X62" s="1"/>
      <c r="Y62" s="1"/>
      <c r="Z62" s="1"/>
    </row>
    <row r="63" spans="1:26" ht="18" customHeight="1">
      <c r="A63" s="101"/>
      <c r="B63" s="70"/>
      <c r="C63" s="57"/>
      <c r="D63" s="74"/>
      <c r="E63" s="64"/>
      <c r="F63" s="65"/>
      <c r="G63" s="74"/>
      <c r="H63" s="65"/>
      <c r="I63" s="74"/>
      <c r="J63" s="65"/>
      <c r="K63" s="74"/>
      <c r="L63" s="65"/>
      <c r="M63" s="74"/>
      <c r="N63" s="65"/>
      <c r="O63" s="74"/>
      <c r="P63" s="65"/>
      <c r="Q63" s="74"/>
      <c r="R63" s="65"/>
      <c r="S63" s="74"/>
      <c r="T63" s="65"/>
      <c r="U63" s="74"/>
      <c r="V63" s="65"/>
      <c r="W63" s="33">
        <f>SUM(G63:V63)</f>
        <v>0</v>
      </c>
      <c r="X63" s="1"/>
      <c r="Y63" s="1"/>
      <c r="Z63" s="1"/>
    </row>
    <row r="64" spans="1:26" ht="18" customHeight="1">
      <c r="A64" s="58"/>
      <c r="B64" s="70"/>
      <c r="C64" s="57"/>
      <c r="D64" s="116"/>
      <c r="E64" s="61"/>
      <c r="F64" s="62"/>
      <c r="G64" s="116"/>
      <c r="H64" s="62"/>
      <c r="I64" s="116"/>
      <c r="J64" s="62"/>
      <c r="K64" s="116"/>
      <c r="L64" s="62"/>
      <c r="M64" s="116"/>
      <c r="N64" s="62"/>
      <c r="O64" s="116"/>
      <c r="P64" s="62"/>
      <c r="Q64" s="116"/>
      <c r="R64" s="62"/>
      <c r="S64" s="116"/>
      <c r="T64" s="62"/>
      <c r="U64" s="116"/>
      <c r="V64" s="62"/>
      <c r="W64" s="31">
        <f>SUM(G64:V64)</f>
        <v>0</v>
      </c>
      <c r="X64" s="1"/>
      <c r="Y64" s="1"/>
      <c r="Z64" s="1"/>
    </row>
    <row r="65" spans="1:26" ht="18" customHeight="1">
      <c r="A65" s="154"/>
      <c r="B65" s="68"/>
      <c r="C65" s="68"/>
      <c r="D65" s="68"/>
      <c r="E65" s="68"/>
      <c r="F65" s="68"/>
      <c r="G65" s="123"/>
      <c r="H65" s="91"/>
      <c r="I65" s="123"/>
      <c r="J65" s="91"/>
      <c r="K65" s="123"/>
      <c r="L65" s="91"/>
      <c r="M65" s="123"/>
      <c r="N65" s="91"/>
      <c r="O65" s="126"/>
      <c r="P65" s="91"/>
      <c r="Q65" s="126"/>
      <c r="R65" s="91"/>
      <c r="S65" s="126"/>
      <c r="T65" s="91"/>
      <c r="U65" s="126"/>
      <c r="V65" s="91"/>
      <c r="W65" s="148"/>
      <c r="X65" s="1"/>
      <c r="Y65" s="1"/>
      <c r="Z65" s="1"/>
    </row>
    <row r="66" spans="1:26" ht="18" customHeight="1">
      <c r="A66" s="124"/>
      <c r="B66" s="86"/>
      <c r="C66" s="86"/>
      <c r="D66" s="86"/>
      <c r="E66" s="86"/>
      <c r="F66" s="86"/>
      <c r="G66" s="124"/>
      <c r="H66" s="125"/>
      <c r="I66" s="124"/>
      <c r="J66" s="125"/>
      <c r="K66" s="124"/>
      <c r="L66" s="125"/>
      <c r="M66" s="124"/>
      <c r="N66" s="125"/>
      <c r="O66" s="124"/>
      <c r="P66" s="125"/>
      <c r="Q66" s="124"/>
      <c r="R66" s="125"/>
      <c r="S66" s="124"/>
      <c r="T66" s="125"/>
      <c r="U66" s="124"/>
      <c r="V66" s="125"/>
      <c r="W66" s="149"/>
      <c r="X66" s="1"/>
      <c r="Y66" s="1"/>
      <c r="Z66" s="1"/>
    </row>
    <row r="67" spans="1:26" ht="14.25" customHeight="1">
      <c r="A67" s="110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91"/>
      <c r="X67" s="1"/>
      <c r="Y67" s="1"/>
      <c r="Z67" s="1"/>
    </row>
    <row r="68" spans="1:26" ht="18" customHeight="1">
      <c r="A68" s="106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107"/>
      <c r="X68" s="1"/>
      <c r="Y68" s="1"/>
      <c r="Z68" s="1"/>
    </row>
    <row r="69" spans="1:26" ht="18" customHeight="1">
      <c r="A69" s="108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107"/>
      <c r="X69" s="1"/>
      <c r="Y69" s="1"/>
      <c r="Z69" s="1"/>
    </row>
    <row r="70" spans="1:26" ht="18" customHeight="1">
      <c r="A70" s="106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107"/>
      <c r="X70" s="1"/>
      <c r="Y70" s="1"/>
      <c r="Z70" s="1"/>
    </row>
    <row r="71" spans="1:26" ht="18" customHeight="1">
      <c r="A71" s="108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107"/>
      <c r="X71" s="1"/>
      <c r="Y71" s="1"/>
      <c r="Z71" s="1"/>
    </row>
    <row r="72" spans="1:26" ht="18" customHeight="1">
      <c r="A72" s="156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107"/>
      <c r="X72" s="1"/>
      <c r="Y72" s="1"/>
      <c r="Z72" s="1"/>
    </row>
    <row r="73" spans="1:26" ht="18" customHeight="1">
      <c r="A73" s="108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107"/>
      <c r="X73" s="1"/>
      <c r="Y73" s="1"/>
      <c r="Z73" s="1"/>
    </row>
    <row r="74" spans="1:26" ht="19.5" customHeight="1">
      <c r="A74" s="27" t="s">
        <v>26</v>
      </c>
      <c r="B74" s="36" t="b">
        <v>0</v>
      </c>
      <c r="C74" s="147" t="s">
        <v>57</v>
      </c>
      <c r="D74" s="79"/>
      <c r="E74" s="79"/>
      <c r="F74" s="79"/>
      <c r="G74" s="79"/>
      <c r="H74" s="79"/>
      <c r="I74" s="147"/>
      <c r="J74" s="79"/>
      <c r="K74" s="79"/>
      <c r="L74" s="79"/>
      <c r="M74" s="79"/>
      <c r="N74" s="79"/>
      <c r="O74" s="150"/>
      <c r="P74" s="79"/>
      <c r="Q74" s="79"/>
      <c r="R74" s="79"/>
      <c r="S74" s="79"/>
      <c r="T74" s="79"/>
      <c r="U74" s="79"/>
      <c r="V74" s="79"/>
      <c r="W74" s="15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97"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S17:T17"/>
    <mergeCell ref="K20:L20"/>
    <mergeCell ref="M20:N20"/>
    <mergeCell ref="O49:P49"/>
    <mergeCell ref="I22:J22"/>
    <mergeCell ref="Q19:R19"/>
    <mergeCell ref="K22:L22"/>
    <mergeCell ref="M22:N22"/>
    <mergeCell ref="O50:P50"/>
    <mergeCell ref="G55:H55"/>
    <mergeCell ref="O52:P52"/>
    <mergeCell ref="G47:H47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U17:V17"/>
    <mergeCell ref="D38:F38"/>
    <mergeCell ref="A29:A30"/>
    <mergeCell ref="U52:V52"/>
    <mergeCell ref="B7:D7"/>
    <mergeCell ref="D63:F63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H2:M2"/>
    <mergeCell ref="F4:H4"/>
    <mergeCell ref="U39:V39"/>
    <mergeCell ref="B19:D20"/>
    <mergeCell ref="S5:W5"/>
    <mergeCell ref="D52:F52"/>
    <mergeCell ref="K11:L12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U49:V49"/>
    <mergeCell ref="M49:N49"/>
    <mergeCell ref="U30:V30"/>
    <mergeCell ref="O30:P30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M52:N52"/>
    <mergeCell ref="K60:L60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G21:H21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M30:N30"/>
    <mergeCell ref="O13:P13"/>
    <mergeCell ref="Q13:R13"/>
    <mergeCell ref="I18:J18"/>
    <mergeCell ref="E34:F34"/>
    <mergeCell ref="S7:T9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E13:F13"/>
    <mergeCell ref="G13:H13"/>
    <mergeCell ref="U37:V37"/>
    <mergeCell ref="M15:N15"/>
    <mergeCell ref="E15:F15"/>
    <mergeCell ref="G15:H15"/>
    <mergeCell ref="A59:C59"/>
    <mergeCell ref="Q32:R32"/>
    <mergeCell ref="S32:T32"/>
    <mergeCell ref="S26:T26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A62:C62"/>
    <mergeCell ref="W21:W22"/>
    <mergeCell ref="W31:W32"/>
    <mergeCell ref="W23:W24"/>
    <mergeCell ref="A61:C61"/>
    <mergeCell ref="U26:V26"/>
    <mergeCell ref="B33:D34"/>
    <mergeCell ref="A54:C54"/>
    <mergeCell ref="Q47:R47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G57:H57"/>
    <mergeCell ref="U16:V16"/>
    <mergeCell ref="D39:F39"/>
    <mergeCell ref="A63:C63"/>
    <mergeCell ref="B29:D30"/>
    <mergeCell ref="B23:D24"/>
    <mergeCell ref="G58:H58"/>
    <mergeCell ref="A65:F66"/>
    <mergeCell ref="U28:V28"/>
    <mergeCell ref="Q49:R49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56:F56"/>
    <mergeCell ref="Q10:R10"/>
    <mergeCell ref="S35:T36"/>
    <mergeCell ref="U53:V53"/>
    <mergeCell ref="U35:V36"/>
    <mergeCell ref="Q22:R22"/>
    <mergeCell ref="A48:C48"/>
    <mergeCell ref="G29:H29"/>
    <mergeCell ref="I29:J29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D62:F62"/>
    <mergeCell ref="D64:F64"/>
    <mergeCell ref="O64:P64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D40:F40"/>
    <mergeCell ref="K35:L36"/>
    <mergeCell ref="M35:N36"/>
    <mergeCell ref="U44:V44"/>
    <mergeCell ref="I6:P6"/>
    <mergeCell ref="O19:P19"/>
    <mergeCell ref="U45:V45"/>
    <mergeCell ref="O20:P20"/>
    <mergeCell ref="Q20:R2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M18:N18"/>
    <mergeCell ref="U42:V42"/>
    <mergeCell ref="S11:T12"/>
    <mergeCell ref="U11:V12"/>
    <mergeCell ref="M17:N17"/>
    <mergeCell ref="K53:L53"/>
    <mergeCell ref="O17:P17"/>
    <mergeCell ref="Q17:R17"/>
    <mergeCell ref="I20:J20"/>
    <mergeCell ref="M47:N47"/>
    <mergeCell ref="M19:N19"/>
    <mergeCell ref="I13:J13"/>
    <mergeCell ref="K13:L13"/>
    <mergeCell ref="I15:J15"/>
    <mergeCell ref="K15:L15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E27:F27"/>
    <mergeCell ref="Q52:R52"/>
    <mergeCell ref="K55:L55"/>
    <mergeCell ref="S52:T52"/>
    <mergeCell ref="S63:T63"/>
    <mergeCell ref="M63:N63"/>
    <mergeCell ref="S50:T50"/>
    <mergeCell ref="M53:N53"/>
    <mergeCell ref="M55:N55"/>
    <mergeCell ref="G54:V54"/>
    <mergeCell ref="I57:J57"/>
    <mergeCell ref="O29:P29"/>
    <mergeCell ref="I32:J32"/>
    <mergeCell ref="Q29:R29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G20:H20"/>
    <mergeCell ref="E22:F22"/>
    <mergeCell ref="G22:H22"/>
    <mergeCell ref="W25:W26"/>
    <mergeCell ref="U50:V50"/>
    <mergeCell ref="Q14:R14"/>
    <mergeCell ref="S14:T14"/>
    <mergeCell ref="S10:T10"/>
    <mergeCell ref="G11:H12"/>
    <mergeCell ref="I11:J12"/>
    <mergeCell ref="K21:L21"/>
    <mergeCell ref="O11:P12"/>
    <mergeCell ref="Q23:R23"/>
    <mergeCell ref="K32:L32"/>
    <mergeCell ref="S23:T23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A7:A10"/>
    <mergeCell ref="E7:F9"/>
    <mergeCell ref="E33:F33"/>
    <mergeCell ref="M25:N25"/>
    <mergeCell ref="U7:V9"/>
    <mergeCell ref="G34:H34"/>
    <mergeCell ref="O25:P25"/>
    <mergeCell ref="M7:N9"/>
    <mergeCell ref="A33:A34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K29:L29"/>
    <mergeCell ref="E29:F29"/>
    <mergeCell ref="B31:D32"/>
    <mergeCell ref="S28:T28"/>
    <mergeCell ref="K31:L31"/>
    <mergeCell ref="M31:N31"/>
    <mergeCell ref="E31:F31"/>
    <mergeCell ref="D51:F51"/>
    <mergeCell ref="O59:P59"/>
    <mergeCell ref="U21:V21"/>
    <mergeCell ref="I62:J62"/>
    <mergeCell ref="Q59:R59"/>
    <mergeCell ref="G64:H64"/>
    <mergeCell ref="M26:N26"/>
    <mergeCell ref="I64:J64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S13:T13"/>
    <mergeCell ref="I56:J56"/>
    <mergeCell ref="U13:V13"/>
    <mergeCell ref="K56:L56"/>
    <mergeCell ref="M13:N13"/>
    <mergeCell ref="Q15:R15"/>
    <mergeCell ref="O51:P51"/>
    <mergeCell ref="S15:T15"/>
    <mergeCell ref="W17:W18"/>
    <mergeCell ref="S33:T33"/>
    <mergeCell ref="U58:V58"/>
    <mergeCell ref="O58:P58"/>
    <mergeCell ref="H1:M1"/>
    <mergeCell ref="W19:W20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O27:P27"/>
    <mergeCell ref="Q27:R27"/>
    <mergeCell ref="M11:N12"/>
    <mergeCell ref="S20:T20"/>
    <mergeCell ref="K28:L28"/>
    <mergeCell ref="U20:V20"/>
    <mergeCell ref="G62:H62"/>
    <mergeCell ref="G51:H51"/>
    <mergeCell ref="I51:J51"/>
    <mergeCell ref="K57:L57"/>
    <mergeCell ref="Q56:R56"/>
    <mergeCell ref="S56:T56"/>
    <mergeCell ref="U63:V63"/>
    <mergeCell ref="K63:L63"/>
    <mergeCell ref="Q60:R60"/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B13:D14"/>
    <mergeCell ref="B15:D16"/>
    <mergeCell ref="D41:F41"/>
    <mergeCell ref="B8:D8"/>
    <mergeCell ref="A55:C55"/>
    <mergeCell ref="B25:D26"/>
    <mergeCell ref="D43:F43"/>
    <mergeCell ref="D55:F55"/>
    <mergeCell ref="A58:C58"/>
    <mergeCell ref="A60:C60"/>
    <mergeCell ref="A52:B52"/>
    <mergeCell ref="E16:F16"/>
    <mergeCell ref="B3:E6"/>
    <mergeCell ref="D1:G1"/>
    <mergeCell ref="I3:M3"/>
  </mergeCells>
  <conditionalFormatting sqref="G47:T47">
    <cfRule type="cellIs" dxfId="1" priority="2" operator="equal">
      <formula>0</formula>
    </cfRule>
  </conditionalFormatting>
  <conditionalFormatting sqref="G35:V36">
    <cfRule type="cellIs" dxfId="0" priority="1" operator="equal">
      <formula>0</formula>
    </cfRule>
  </conditionalFormatting>
  <dataValidations count="9">
    <dataValidation type="list" allowBlank="1" sqref="H2" xr:uid="{00000000-0002-0000-0000-000000000000}">
      <formula1>"6:00 am - 4:00 pm,6:30 am - 4:30 pm,7:00 am - 3:30 pm,7:00 am - 4:00 pm,7:00 am - 4:30 pm,7:00 am - 5:00 pm,7:00 am - 6:00 pm,7:30 am - 5:30 pm,7:00 pm - 5:00 am"</formula1>
    </dataValidation>
    <dataValidation type="list" allowBlank="1" sqref="N2" xr:uid="{00000000-0002-0000-0000-000001000000}">
      <formula1>"No lunch,30 mins,1 hour"</formula1>
    </dataValidation>
    <dataValidation type="list" allowBlank="1" sqref="I4" xr:uid="{00000000-0002-0000-0000-000002000000}">
      <formula1>"Sunny,Cloudy,Rainy,Snowy"</formula1>
    </dataValidation>
    <dataValidation type="list" allowBlank="1" sqref="A62:A64" xr:uid="{00000000-0002-0000-0000-000003000000}">
      <formula1>"PMI,Potts &amp; Callahan,SandyFill,MD Recycling Center,MD Reclamation Center,Pittman Road,Rockville Recycle"</formula1>
    </dataValidation>
    <dataValidation type="list" allowBlank="1" sqref="E13 E15 E17 E19 E21 E23 E25 E27 E29 E31 E33" xr:uid="{00000000-0002-0000-0000-000004000000}">
      <formula1>"104,105,109,119,120,121,122,202,203,205,208,210,211"</formula1>
    </dataValidation>
    <dataValidation type="custom" allowBlank="1" showDropDown="1" sqref="D2" xr:uid="{00000000-0002-0000-0000-000005000000}">
      <formula1>OR(NOT(ISERROR(DATEVALUE(D2))), AND(ISNUMBER(D2), LEFT(CELL("format", D2))="D"))</formula1>
    </dataValidation>
    <dataValidation type="list" allowBlank="1" sqref="F4" xr:uid="{00000000-0002-0000-0000-000006000000}">
      <formula1>"Day,Night"</formula1>
    </dataValidation>
    <dataValidation type="list" allowBlank="1" sqref="A55:A60" xr:uid="{00000000-0002-0000-0000-000007000000}">
      <formula1>"Anthony's,Alba's,Barbie's,Digz,3D's,Powell,American,Julian's,Shivs,WBJ,Antonio's,Alexis Trucking,JLA,M Luis,J&amp;M Sweeping,A Halcon Contractors"</formula1>
    </dataValidation>
    <dataValidation type="list" allowBlank="1" sqref="I6" xr:uid="{00000000-0002-0000-0000-000008000000}">
      <formula1>"Walt Leizear,Oscar Allende,William Bratcher,Jose Balmes"</formula1>
    </dataValidation>
  </dataValidations>
  <pageMargins left="0.5" right="0.5" top="0.25" bottom="0.25" header="0" footer="0"/>
  <pageSetup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546875" defaultRowHeight="15" customHeight="1"/>
  <sheetData>
    <row r="1" spans="1:2" ht="15" customHeight="1">
      <c r="A1" s="45" t="s">
        <v>58</v>
      </c>
      <c r="B1" s="3" t="s">
        <v>59</v>
      </c>
    </row>
    <row r="2" spans="1:2" ht="15" customHeight="1">
      <c r="A2" s="46" t="s">
        <v>60</v>
      </c>
      <c r="B2" s="47" t="b">
        <v>1</v>
      </c>
    </row>
    <row r="3" spans="1:2" ht="15" customHeight="1">
      <c r="A3" s="46" t="s">
        <v>61</v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25"/>
  <sheetViews>
    <sheetView workbookViewId="0"/>
  </sheetViews>
  <sheetFormatPr defaultColWidth="12.5546875" defaultRowHeight="15" customHeight="1"/>
  <cols>
    <col min="1" max="1" width="25.5546875" customWidth="1"/>
  </cols>
  <sheetData>
    <row r="1" spans="1:2" ht="15" customHeight="1">
      <c r="A1" s="37" t="s">
        <v>62</v>
      </c>
      <c r="B1" s="37">
        <v>59</v>
      </c>
    </row>
    <row r="2" spans="1:2" ht="15" customHeight="1">
      <c r="A2" s="37" t="s">
        <v>63</v>
      </c>
      <c r="B2" s="37">
        <v>77</v>
      </c>
    </row>
    <row r="3" spans="1:2" ht="15" customHeight="1">
      <c r="A3" s="37" t="s">
        <v>64</v>
      </c>
      <c r="B3" s="37">
        <v>91</v>
      </c>
    </row>
    <row r="4" spans="1:2" ht="15" customHeight="1">
      <c r="A4" s="37" t="s">
        <v>65</v>
      </c>
      <c r="B4" s="37">
        <v>92</v>
      </c>
    </row>
    <row r="5" spans="1:2" ht="15" customHeight="1">
      <c r="A5" s="37" t="s">
        <v>66</v>
      </c>
      <c r="B5" s="37">
        <v>95</v>
      </c>
    </row>
    <row r="6" spans="1:2" ht="15" customHeight="1">
      <c r="A6" s="37" t="s">
        <v>67</v>
      </c>
      <c r="B6" s="37">
        <v>129</v>
      </c>
    </row>
    <row r="7" spans="1:2" ht="15" customHeight="1">
      <c r="A7" s="37" t="s">
        <v>68</v>
      </c>
      <c r="B7" s="37">
        <v>146</v>
      </c>
    </row>
    <row r="8" spans="1:2" ht="15" customHeight="1">
      <c r="A8" s="37" t="s">
        <v>69</v>
      </c>
      <c r="B8" s="37">
        <v>147</v>
      </c>
    </row>
    <row r="9" spans="1:2" ht="15" customHeight="1">
      <c r="A9" s="37" t="s">
        <v>26</v>
      </c>
      <c r="B9" s="37">
        <v>177</v>
      </c>
    </row>
    <row r="10" spans="1:2" ht="15" customHeight="1">
      <c r="A10" s="37" t="s">
        <v>70</v>
      </c>
      <c r="B10" s="37">
        <v>179</v>
      </c>
    </row>
    <row r="11" spans="1:2" ht="15" customHeight="1">
      <c r="A11" s="37" t="s">
        <v>71</v>
      </c>
      <c r="B11" s="37">
        <v>215</v>
      </c>
    </row>
    <row r="12" spans="1:2" ht="15" customHeight="1">
      <c r="A12" s="37" t="s">
        <v>72</v>
      </c>
      <c r="B12" s="37">
        <v>285</v>
      </c>
    </row>
    <row r="13" spans="1:2" ht="15" customHeight="1">
      <c r="A13" s="37" t="s">
        <v>73</v>
      </c>
      <c r="B13" s="37">
        <v>338</v>
      </c>
    </row>
    <row r="14" spans="1:2" ht="15" customHeight="1">
      <c r="A14" s="37" t="s">
        <v>74</v>
      </c>
      <c r="B14" s="37">
        <v>365</v>
      </c>
    </row>
    <row r="15" spans="1:2" ht="15" customHeight="1">
      <c r="A15" s="37" t="s">
        <v>75</v>
      </c>
      <c r="B15" s="37">
        <v>564</v>
      </c>
    </row>
    <row r="16" spans="1:2" ht="15" customHeight="1">
      <c r="A16" s="37" t="s">
        <v>76</v>
      </c>
      <c r="B16" s="37">
        <v>745</v>
      </c>
    </row>
    <row r="17" spans="1:2" ht="15" customHeight="1">
      <c r="A17" s="37" t="s">
        <v>77</v>
      </c>
      <c r="B17" s="37">
        <v>778</v>
      </c>
    </row>
    <row r="18" spans="1:2" ht="15" customHeight="1">
      <c r="A18" s="37" t="s">
        <v>78</v>
      </c>
      <c r="B18" s="37">
        <v>799</v>
      </c>
    </row>
    <row r="19" spans="1:2" ht="15" customHeight="1">
      <c r="A19" s="37" t="s">
        <v>79</v>
      </c>
      <c r="B19" s="37">
        <v>890</v>
      </c>
    </row>
    <row r="20" spans="1:2" ht="15" customHeight="1">
      <c r="A20" s="37" t="s">
        <v>80</v>
      </c>
      <c r="B20" s="37">
        <v>931</v>
      </c>
    </row>
    <row r="21" spans="1:2" ht="15" customHeight="1">
      <c r="A21" s="37" t="s">
        <v>81</v>
      </c>
      <c r="B21" s="37">
        <v>955</v>
      </c>
    </row>
    <row r="22" spans="1:2" ht="15" customHeight="1">
      <c r="A22" s="37" t="s">
        <v>82</v>
      </c>
      <c r="B22" s="37">
        <v>976</v>
      </c>
    </row>
    <row r="23" spans="1:2" ht="15" customHeight="1">
      <c r="A23" s="37" t="s">
        <v>83</v>
      </c>
      <c r="B23" s="37">
        <v>983</v>
      </c>
    </row>
    <row r="24" spans="1:2" ht="15" customHeight="1">
      <c r="A24" s="37" t="s">
        <v>33</v>
      </c>
      <c r="B24" s="37">
        <v>1021</v>
      </c>
    </row>
    <row r="25" spans="1:2" ht="15" customHeight="1">
      <c r="A25" s="37" t="s">
        <v>84</v>
      </c>
      <c r="B25" s="37">
        <v>1040</v>
      </c>
    </row>
    <row r="26" spans="1:2" ht="13.2">
      <c r="A26" s="37" t="s">
        <v>85</v>
      </c>
      <c r="B26" s="37">
        <v>1120</v>
      </c>
    </row>
    <row r="27" spans="1:2" ht="13.2">
      <c r="A27" s="37" t="s">
        <v>86</v>
      </c>
      <c r="B27" s="37">
        <v>1147</v>
      </c>
    </row>
    <row r="28" spans="1:2" ht="13.2">
      <c r="A28" s="37" t="s">
        <v>35</v>
      </c>
      <c r="B28" s="37">
        <v>1171</v>
      </c>
    </row>
    <row r="29" spans="1:2" ht="13.2">
      <c r="A29" s="37" t="s">
        <v>87</v>
      </c>
      <c r="B29" s="37">
        <v>1221</v>
      </c>
    </row>
    <row r="30" spans="1:2" ht="13.2">
      <c r="A30" s="37" t="s">
        <v>88</v>
      </c>
      <c r="B30" s="37">
        <v>1228</v>
      </c>
    </row>
    <row r="31" spans="1:2" ht="13.2">
      <c r="A31" s="37" t="s">
        <v>89</v>
      </c>
      <c r="B31" s="37">
        <v>1257</v>
      </c>
    </row>
    <row r="32" spans="1:2" ht="13.2">
      <c r="A32" s="37" t="s">
        <v>90</v>
      </c>
      <c r="B32" s="37">
        <v>1289</v>
      </c>
    </row>
    <row r="33" spans="1:2" ht="13.2">
      <c r="A33" s="37" t="s">
        <v>91</v>
      </c>
      <c r="B33" s="37">
        <v>1291</v>
      </c>
    </row>
    <row r="34" spans="1:2" ht="13.2">
      <c r="A34" s="37" t="s">
        <v>29</v>
      </c>
      <c r="B34" s="37">
        <v>1308</v>
      </c>
    </row>
    <row r="35" spans="1:2" ht="13.2">
      <c r="A35" s="37" t="s">
        <v>92</v>
      </c>
      <c r="B35" s="37">
        <v>1318</v>
      </c>
    </row>
    <row r="36" spans="1:2" ht="13.2">
      <c r="A36" s="37" t="s">
        <v>31</v>
      </c>
      <c r="B36" s="37">
        <v>1319</v>
      </c>
    </row>
    <row r="37" spans="1:2" ht="13.2">
      <c r="A37" s="37" t="s">
        <v>93</v>
      </c>
      <c r="B37" s="37">
        <v>1322</v>
      </c>
    </row>
    <row r="38" spans="1:2" ht="13.2">
      <c r="A38" s="37" t="s">
        <v>94</v>
      </c>
      <c r="B38" s="37">
        <v>1352</v>
      </c>
    </row>
    <row r="39" spans="1:2" ht="13.2">
      <c r="A39" s="37" t="s">
        <v>95</v>
      </c>
      <c r="B39" s="37">
        <v>1379</v>
      </c>
    </row>
    <row r="40" spans="1:2" ht="13.2">
      <c r="A40" s="37" t="s">
        <v>96</v>
      </c>
      <c r="B40" s="37">
        <v>1384</v>
      </c>
    </row>
    <row r="41" spans="1:2" ht="13.2">
      <c r="A41" s="37" t="s">
        <v>97</v>
      </c>
      <c r="B41" s="37">
        <v>1446</v>
      </c>
    </row>
    <row r="42" spans="1:2" ht="13.2">
      <c r="A42" s="37" t="s">
        <v>98</v>
      </c>
      <c r="B42" s="37">
        <v>1464</v>
      </c>
    </row>
    <row r="43" spans="1:2" ht="13.2">
      <c r="A43" s="37" t="s">
        <v>99</v>
      </c>
      <c r="B43" s="37">
        <v>1468</v>
      </c>
    </row>
    <row r="44" spans="1:2" ht="13.2">
      <c r="A44" s="37" t="s">
        <v>100</v>
      </c>
      <c r="B44" s="37">
        <v>1471</v>
      </c>
    </row>
    <row r="45" spans="1:2" ht="13.2">
      <c r="A45" s="37" t="s">
        <v>101</v>
      </c>
      <c r="B45" s="37">
        <v>1497</v>
      </c>
    </row>
    <row r="46" spans="1:2" ht="13.2">
      <c r="A46" s="37" t="s">
        <v>102</v>
      </c>
      <c r="B46" s="37">
        <v>1500</v>
      </c>
    </row>
    <row r="47" spans="1:2" ht="13.2">
      <c r="A47" s="37" t="s">
        <v>103</v>
      </c>
      <c r="B47" s="37">
        <v>1501</v>
      </c>
    </row>
    <row r="48" spans="1:2" ht="13.2">
      <c r="A48" s="37" t="s">
        <v>104</v>
      </c>
      <c r="B48" s="37">
        <v>1525</v>
      </c>
    </row>
    <row r="49" spans="1:2" ht="13.2">
      <c r="A49" s="37" t="s">
        <v>105</v>
      </c>
      <c r="B49" s="37">
        <v>1527</v>
      </c>
    </row>
    <row r="50" spans="1:2" ht="13.2">
      <c r="A50" s="37" t="s">
        <v>106</v>
      </c>
      <c r="B50" s="37">
        <v>1529</v>
      </c>
    </row>
    <row r="51" spans="1:2" ht="13.2">
      <c r="A51" s="37" t="s">
        <v>107</v>
      </c>
      <c r="B51" s="37">
        <v>1536</v>
      </c>
    </row>
    <row r="52" spans="1:2" ht="13.2">
      <c r="A52" s="37" t="s">
        <v>108</v>
      </c>
      <c r="B52" s="37">
        <v>1550</v>
      </c>
    </row>
    <row r="53" spans="1:2" ht="13.2">
      <c r="A53" s="37" t="s">
        <v>109</v>
      </c>
      <c r="B53" s="37">
        <v>1566</v>
      </c>
    </row>
    <row r="54" spans="1:2" ht="13.2">
      <c r="A54" s="37" t="s">
        <v>110</v>
      </c>
      <c r="B54" s="37">
        <v>1575</v>
      </c>
    </row>
    <row r="55" spans="1:2" ht="13.2">
      <c r="A55" s="37" t="s">
        <v>111</v>
      </c>
      <c r="B55" s="37">
        <v>1592</v>
      </c>
    </row>
    <row r="56" spans="1:2" ht="13.2">
      <c r="A56" s="37" t="s">
        <v>112</v>
      </c>
      <c r="B56" s="37">
        <v>1600</v>
      </c>
    </row>
    <row r="57" spans="1:2" ht="13.2">
      <c r="A57" s="37" t="s">
        <v>113</v>
      </c>
      <c r="B57" s="37">
        <v>1612</v>
      </c>
    </row>
    <row r="58" spans="1:2" ht="13.2">
      <c r="A58" s="37" t="s">
        <v>114</v>
      </c>
      <c r="B58" s="37">
        <v>1616</v>
      </c>
    </row>
    <row r="59" spans="1:2" ht="13.2">
      <c r="A59" s="37" t="s">
        <v>115</v>
      </c>
      <c r="B59" s="37">
        <v>1639</v>
      </c>
    </row>
    <row r="60" spans="1:2" ht="13.2">
      <c r="A60" s="37" t="s">
        <v>116</v>
      </c>
      <c r="B60" s="37">
        <v>1643</v>
      </c>
    </row>
    <row r="61" spans="1:2" ht="13.2">
      <c r="A61" s="37" t="s">
        <v>117</v>
      </c>
      <c r="B61" s="37">
        <v>1645</v>
      </c>
    </row>
    <row r="62" spans="1:2" ht="13.2">
      <c r="A62" s="37" t="s">
        <v>118</v>
      </c>
      <c r="B62" s="37">
        <v>1670</v>
      </c>
    </row>
    <row r="63" spans="1:2" ht="13.2">
      <c r="A63" s="37" t="s">
        <v>119</v>
      </c>
      <c r="B63" s="37">
        <v>1700</v>
      </c>
    </row>
    <row r="64" spans="1:2" ht="13.2">
      <c r="A64" s="37" t="s">
        <v>21</v>
      </c>
      <c r="B64" s="37">
        <v>1706</v>
      </c>
    </row>
    <row r="65" spans="1:2" ht="13.2">
      <c r="A65" s="37" t="s">
        <v>120</v>
      </c>
      <c r="B65" s="37">
        <v>1710</v>
      </c>
    </row>
    <row r="66" spans="1:2" ht="13.2">
      <c r="A66" s="37" t="s">
        <v>121</v>
      </c>
      <c r="B66" s="37">
        <v>1711</v>
      </c>
    </row>
    <row r="67" spans="1:2" ht="13.2">
      <c r="A67" s="37" t="s">
        <v>122</v>
      </c>
      <c r="B67" s="37">
        <v>1716</v>
      </c>
    </row>
    <row r="68" spans="1:2" ht="13.2">
      <c r="A68" s="37" t="s">
        <v>30</v>
      </c>
      <c r="B68" s="37">
        <v>1728</v>
      </c>
    </row>
    <row r="69" spans="1:2" ht="13.2">
      <c r="A69" s="37" t="s">
        <v>123</v>
      </c>
      <c r="B69" s="37">
        <v>1736</v>
      </c>
    </row>
    <row r="70" spans="1:2" ht="13.2">
      <c r="A70" s="37" t="s">
        <v>124</v>
      </c>
      <c r="B70" s="37">
        <v>1743</v>
      </c>
    </row>
    <row r="71" spans="1:2" ht="13.2">
      <c r="A71" s="37" t="s">
        <v>125</v>
      </c>
      <c r="B71" s="37">
        <v>1778</v>
      </c>
    </row>
    <row r="72" spans="1:2" ht="13.2">
      <c r="A72" s="37" t="s">
        <v>126</v>
      </c>
      <c r="B72" s="37">
        <v>1782</v>
      </c>
    </row>
    <row r="73" spans="1:2" ht="13.2">
      <c r="A73" s="37" t="s">
        <v>127</v>
      </c>
      <c r="B73" s="37">
        <v>1806</v>
      </c>
    </row>
    <row r="74" spans="1:2" ht="13.2">
      <c r="A74" s="37" t="s">
        <v>128</v>
      </c>
      <c r="B74" s="37">
        <v>1839</v>
      </c>
    </row>
    <row r="75" spans="1:2" ht="13.2">
      <c r="A75" s="37" t="s">
        <v>129</v>
      </c>
      <c r="B75" s="37">
        <v>1842</v>
      </c>
    </row>
    <row r="76" spans="1:2" ht="13.2">
      <c r="A76" s="37" t="s">
        <v>130</v>
      </c>
      <c r="B76" s="37">
        <v>1854</v>
      </c>
    </row>
    <row r="77" spans="1:2" ht="13.2">
      <c r="A77" s="37" t="s">
        <v>131</v>
      </c>
      <c r="B77" s="37">
        <v>1856</v>
      </c>
    </row>
    <row r="78" spans="1:2" ht="13.2">
      <c r="A78" s="37" t="s">
        <v>132</v>
      </c>
      <c r="B78" s="37">
        <v>1868</v>
      </c>
    </row>
    <row r="79" spans="1:2" ht="13.2">
      <c r="A79" s="37" t="s">
        <v>133</v>
      </c>
      <c r="B79" s="37">
        <v>1873</v>
      </c>
    </row>
    <row r="80" spans="1:2" ht="13.2">
      <c r="A80" s="37" t="s">
        <v>134</v>
      </c>
      <c r="B80" s="37">
        <v>1896</v>
      </c>
    </row>
    <row r="81" spans="1:2" ht="13.2">
      <c r="A81" s="37" t="s">
        <v>135</v>
      </c>
      <c r="B81" s="37">
        <v>1899</v>
      </c>
    </row>
    <row r="82" spans="1:2" ht="13.2">
      <c r="A82" s="37" t="s">
        <v>136</v>
      </c>
      <c r="B82" s="37">
        <v>1920</v>
      </c>
    </row>
    <row r="83" spans="1:2" ht="13.2">
      <c r="A83" s="37" t="s">
        <v>32</v>
      </c>
      <c r="B83" s="48">
        <v>1927</v>
      </c>
    </row>
    <row r="84" spans="1:2" ht="13.2">
      <c r="A84" s="37" t="s">
        <v>137</v>
      </c>
      <c r="B84" s="48">
        <v>1933</v>
      </c>
    </row>
    <row r="85" spans="1:2" ht="13.2">
      <c r="A85" s="37" t="s">
        <v>138</v>
      </c>
      <c r="B85" s="48">
        <v>1934</v>
      </c>
    </row>
    <row r="86" spans="1:2" ht="13.2">
      <c r="A86" s="37" t="s">
        <v>139</v>
      </c>
      <c r="B86" s="48">
        <v>1942</v>
      </c>
    </row>
    <row r="87" spans="1:2" ht="13.2">
      <c r="A87" s="37" t="s">
        <v>140</v>
      </c>
      <c r="B87" s="48">
        <v>1946</v>
      </c>
    </row>
    <row r="88" spans="1:2" ht="13.2">
      <c r="A88" s="37" t="s">
        <v>141</v>
      </c>
      <c r="B88" s="48">
        <v>1948</v>
      </c>
    </row>
    <row r="89" spans="1:2" ht="13.2">
      <c r="A89" s="37" t="s">
        <v>142</v>
      </c>
      <c r="B89" s="48">
        <v>1949</v>
      </c>
    </row>
    <row r="90" spans="1:2" ht="13.2">
      <c r="A90" s="37" t="s">
        <v>143</v>
      </c>
      <c r="B90" s="48">
        <v>1958</v>
      </c>
    </row>
    <row r="91" spans="1:2" ht="13.2">
      <c r="A91" s="37" t="s">
        <v>144</v>
      </c>
      <c r="B91" s="37">
        <v>1960</v>
      </c>
    </row>
    <row r="92" spans="1:2" ht="13.2">
      <c r="A92" s="37" t="s">
        <v>145</v>
      </c>
      <c r="B92" s="48">
        <v>1975</v>
      </c>
    </row>
    <row r="93" spans="1:2" ht="13.2">
      <c r="A93" s="37" t="s">
        <v>146</v>
      </c>
      <c r="B93" s="48">
        <v>1988</v>
      </c>
    </row>
    <row r="94" spans="1:2" ht="13.2">
      <c r="A94" s="37" t="s">
        <v>147</v>
      </c>
      <c r="B94" s="48">
        <v>1990</v>
      </c>
    </row>
    <row r="95" spans="1:2" ht="13.2">
      <c r="A95" s="37" t="s">
        <v>148</v>
      </c>
      <c r="B95" s="48">
        <v>1991</v>
      </c>
    </row>
    <row r="96" spans="1:2" ht="13.2">
      <c r="A96" s="37" t="s">
        <v>149</v>
      </c>
      <c r="B96" s="48">
        <v>1992</v>
      </c>
    </row>
    <row r="97" spans="1:2" ht="13.2">
      <c r="A97" s="37" t="s">
        <v>150</v>
      </c>
      <c r="B97" s="48">
        <v>1994</v>
      </c>
    </row>
    <row r="98" spans="1:2" ht="13.2">
      <c r="A98" s="37" t="s">
        <v>151</v>
      </c>
      <c r="B98" s="48">
        <v>2007</v>
      </c>
    </row>
    <row r="99" spans="1:2" ht="13.2">
      <c r="A99" s="37" t="s">
        <v>152</v>
      </c>
      <c r="B99" s="37">
        <v>2009</v>
      </c>
    </row>
    <row r="100" spans="1:2" ht="13.2">
      <c r="A100" s="37" t="s">
        <v>153</v>
      </c>
      <c r="B100" s="37">
        <v>2010</v>
      </c>
    </row>
    <row r="101" spans="1:2" ht="13.2">
      <c r="A101" s="37" t="s">
        <v>154</v>
      </c>
      <c r="B101" s="37">
        <v>2011</v>
      </c>
    </row>
    <row r="102" spans="1:2" ht="13.2">
      <c r="A102" s="37" t="s">
        <v>155</v>
      </c>
      <c r="B102" s="37">
        <v>2013</v>
      </c>
    </row>
    <row r="103" spans="1:2" ht="13.2">
      <c r="A103" s="37" t="s">
        <v>156</v>
      </c>
      <c r="B103" s="37">
        <v>2014</v>
      </c>
    </row>
    <row r="104" spans="1:2" ht="13.2">
      <c r="A104" s="37" t="s">
        <v>157</v>
      </c>
      <c r="B104" s="37">
        <v>2026</v>
      </c>
    </row>
    <row r="105" spans="1:2" ht="13.2">
      <c r="A105" s="37" t="s">
        <v>158</v>
      </c>
      <c r="B105" s="37">
        <v>2029</v>
      </c>
    </row>
    <row r="106" spans="1:2" ht="13.2">
      <c r="A106" s="37" t="s">
        <v>159</v>
      </c>
      <c r="B106" s="37">
        <v>2031</v>
      </c>
    </row>
    <row r="107" spans="1:2" ht="13.2">
      <c r="A107" s="37" t="s">
        <v>160</v>
      </c>
      <c r="B107" s="37">
        <v>2034</v>
      </c>
    </row>
    <row r="108" spans="1:2" ht="13.2">
      <c r="A108" s="37" t="s">
        <v>161</v>
      </c>
      <c r="B108" s="37">
        <v>2035</v>
      </c>
    </row>
    <row r="109" spans="1:2" ht="13.2">
      <c r="A109" s="37" t="s">
        <v>162</v>
      </c>
      <c r="B109" s="37">
        <v>2037</v>
      </c>
    </row>
    <row r="110" spans="1:2" ht="13.2">
      <c r="A110" s="37" t="s">
        <v>163</v>
      </c>
      <c r="B110" s="37">
        <v>2038</v>
      </c>
    </row>
    <row r="111" spans="1:2" ht="13.2">
      <c r="A111" s="37" t="s">
        <v>164</v>
      </c>
      <c r="B111" s="37">
        <v>2039</v>
      </c>
    </row>
    <row r="112" spans="1:2" ht="13.2">
      <c r="A112" s="37" t="s">
        <v>165</v>
      </c>
      <c r="B112" s="37">
        <v>2040</v>
      </c>
    </row>
    <row r="113" spans="1:2" ht="13.2">
      <c r="A113" s="37" t="s">
        <v>166</v>
      </c>
      <c r="B113" s="37">
        <v>2041</v>
      </c>
    </row>
    <row r="114" spans="1:2" ht="13.2">
      <c r="A114" s="37" t="s">
        <v>167</v>
      </c>
      <c r="B114" s="37">
        <v>2042</v>
      </c>
    </row>
    <row r="115" spans="1:2" ht="13.2">
      <c r="A115" s="37" t="s">
        <v>168</v>
      </c>
      <c r="B115" s="37">
        <v>2044</v>
      </c>
    </row>
    <row r="116" spans="1:2" ht="13.2">
      <c r="A116" s="37" t="s">
        <v>169</v>
      </c>
      <c r="B116" s="37">
        <v>2048</v>
      </c>
    </row>
    <row r="117" spans="1:2" ht="13.2">
      <c r="A117" s="37" t="s">
        <v>170</v>
      </c>
      <c r="B117" s="37">
        <v>2049</v>
      </c>
    </row>
    <row r="118" spans="1:2" ht="13.2">
      <c r="A118" s="37" t="s">
        <v>171</v>
      </c>
      <c r="B118" s="37">
        <v>2051</v>
      </c>
    </row>
    <row r="119" spans="1:2" ht="13.2">
      <c r="A119" s="37" t="s">
        <v>172</v>
      </c>
      <c r="B119" s="37">
        <v>2052</v>
      </c>
    </row>
    <row r="120" spans="1:2" ht="13.2">
      <c r="A120" s="37" t="s">
        <v>173</v>
      </c>
      <c r="B120" s="37">
        <v>2053</v>
      </c>
    </row>
    <row r="121" spans="1:2" ht="13.2">
      <c r="A121" s="37" t="s">
        <v>174</v>
      </c>
      <c r="B121" s="37">
        <v>2055</v>
      </c>
    </row>
    <row r="122" spans="1:2" ht="13.2">
      <c r="A122" s="37" t="s">
        <v>175</v>
      </c>
      <c r="B122" s="37">
        <v>2056</v>
      </c>
    </row>
    <row r="123" spans="1:2" ht="13.2">
      <c r="A123" s="37" t="s">
        <v>176</v>
      </c>
      <c r="B123" s="37">
        <v>2057</v>
      </c>
    </row>
    <row r="124" spans="1:2" ht="13.2">
      <c r="A124" s="37" t="s">
        <v>177</v>
      </c>
      <c r="B124" s="37">
        <v>2058</v>
      </c>
    </row>
    <row r="125" spans="1:2" ht="13.2">
      <c r="A125" s="37" t="s">
        <v>178</v>
      </c>
      <c r="B125" s="37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defaultColWidth="12.5546875" defaultRowHeight="15" customHeight="1"/>
  <sheetData>
    <row r="1" spans="1:2" ht="15" customHeight="1">
      <c r="A1" s="37" t="s">
        <v>179</v>
      </c>
      <c r="B1" s="37" t="s">
        <v>180</v>
      </c>
    </row>
    <row r="2" spans="1:2" ht="15" customHeight="1">
      <c r="A2" s="37" t="s">
        <v>181</v>
      </c>
      <c r="B2" s="37" t="s">
        <v>182</v>
      </c>
    </row>
    <row r="3" spans="1:2" ht="15" customHeight="1">
      <c r="A3" s="37" t="s">
        <v>183</v>
      </c>
      <c r="B3" s="37" t="s">
        <v>184</v>
      </c>
    </row>
    <row r="4" spans="1:2" ht="15" customHeight="1">
      <c r="A4" s="37" t="s">
        <v>185</v>
      </c>
      <c r="B4" s="37" t="s">
        <v>186</v>
      </c>
    </row>
    <row r="5" spans="1:2" ht="15" customHeight="1">
      <c r="A5" s="37" t="s">
        <v>187</v>
      </c>
      <c r="B5" s="37" t="s">
        <v>188</v>
      </c>
    </row>
    <row r="6" spans="1:2" ht="15" customHeight="1">
      <c r="A6" s="37" t="s">
        <v>189</v>
      </c>
      <c r="B6" s="37" t="s">
        <v>184</v>
      </c>
    </row>
    <row r="7" spans="1:2" ht="15" customHeight="1">
      <c r="A7" s="37" t="s">
        <v>190</v>
      </c>
      <c r="B7" s="37" t="s">
        <v>191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93"/>
  <sheetViews>
    <sheetView workbookViewId="0"/>
  </sheetViews>
  <sheetFormatPr defaultColWidth="12.5546875" defaultRowHeight="15" customHeight="1"/>
  <cols>
    <col min="1" max="2" width="10.109375" style="38" customWidth="1"/>
    <col min="3" max="4" width="10.109375" customWidth="1"/>
    <col min="5" max="6" width="10.109375" style="38" customWidth="1"/>
    <col min="7" max="22" width="10.109375" customWidth="1"/>
    <col min="23" max="23" width="10.109375" style="38" customWidth="1"/>
    <col min="24" max="26" width="10.109375" customWidth="1"/>
    <col min="27" max="27" width="10.109375" style="38" customWidth="1"/>
    <col min="28" max="28" width="10.109375" customWidth="1"/>
    <col min="29" max="31" width="10.109375" style="38" customWidth="1"/>
    <col min="32" max="44" width="7.5546875" customWidth="1"/>
  </cols>
  <sheetData>
    <row r="1" spans="1:31" ht="12.75" customHeight="1">
      <c r="A1" s="49" t="s">
        <v>192</v>
      </c>
      <c r="B1" s="50" t="s">
        <v>193</v>
      </c>
      <c r="C1" s="50" t="s">
        <v>194</v>
      </c>
      <c r="D1" s="50" t="s">
        <v>195</v>
      </c>
      <c r="E1" s="51" t="s">
        <v>196</v>
      </c>
      <c r="F1" s="51" t="s">
        <v>197</v>
      </c>
      <c r="G1" s="51" t="s">
        <v>198</v>
      </c>
      <c r="H1" s="51" t="s">
        <v>199</v>
      </c>
      <c r="I1" s="51" t="s">
        <v>200</v>
      </c>
      <c r="J1" s="51" t="s">
        <v>201</v>
      </c>
      <c r="K1" s="51" t="s">
        <v>202</v>
      </c>
      <c r="L1" s="51" t="s">
        <v>203</v>
      </c>
      <c r="M1" s="51" t="s">
        <v>204</v>
      </c>
      <c r="N1" s="51" t="s">
        <v>205</v>
      </c>
      <c r="O1" s="51" t="s">
        <v>206</v>
      </c>
      <c r="P1" s="51" t="s">
        <v>207</v>
      </c>
      <c r="Q1" s="51" t="s">
        <v>208</v>
      </c>
      <c r="R1" s="51" t="s">
        <v>209</v>
      </c>
      <c r="S1" s="51" t="s">
        <v>210</v>
      </c>
      <c r="T1" s="51" t="s">
        <v>211</v>
      </c>
      <c r="U1" s="51" t="s">
        <v>212</v>
      </c>
      <c r="V1" s="51" t="s">
        <v>213</v>
      </c>
      <c r="W1" s="51" t="s">
        <v>214</v>
      </c>
      <c r="X1" s="51" t="s">
        <v>215</v>
      </c>
      <c r="Y1" s="51" t="s">
        <v>216</v>
      </c>
      <c r="Z1" s="51" t="s">
        <v>217</v>
      </c>
      <c r="AA1" s="51" t="s">
        <v>218</v>
      </c>
      <c r="AB1" s="51" t="s">
        <v>219</v>
      </c>
      <c r="AC1" s="37"/>
      <c r="AD1" s="37"/>
      <c r="AE1" s="39" t="b">
        <f t="array" aca="1" ref="AE1" ca="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>0</v>
      </c>
    </row>
    <row r="2" spans="1:31" ht="12.75" customHeight="1">
      <c r="A2" s="37" t="s">
        <v>192</v>
      </c>
      <c r="B2" s="37" t="s">
        <v>192</v>
      </c>
      <c r="C2" s="48">
        <v>130851</v>
      </c>
      <c r="D2" s="48">
        <v>476040</v>
      </c>
      <c r="E2" s="48">
        <v>585707</v>
      </c>
      <c r="F2" s="48">
        <v>120510</v>
      </c>
      <c r="G2" s="48">
        <v>476077</v>
      </c>
      <c r="H2" s="48">
        <v>114275</v>
      </c>
      <c r="I2" s="48">
        <v>110701</v>
      </c>
      <c r="J2" s="48">
        <v>130801</v>
      </c>
      <c r="K2" s="48">
        <v>130850</v>
      </c>
      <c r="L2" s="48">
        <v>130851</v>
      </c>
      <c r="M2" s="48">
        <v>505029</v>
      </c>
      <c r="N2" s="48">
        <v>130801</v>
      </c>
      <c r="O2" s="48">
        <v>110350</v>
      </c>
      <c r="P2" s="48">
        <v>110100</v>
      </c>
      <c r="Q2" s="48">
        <v>130850</v>
      </c>
      <c r="R2" s="48">
        <v>130850</v>
      </c>
      <c r="S2" s="48">
        <v>130801</v>
      </c>
      <c r="T2" s="48">
        <v>504590</v>
      </c>
      <c r="U2" s="48">
        <v>130801</v>
      </c>
      <c r="V2" s="48">
        <v>504593</v>
      </c>
      <c r="W2" s="48">
        <v>110350</v>
      </c>
      <c r="X2" s="48">
        <v>130801</v>
      </c>
      <c r="Y2" s="48">
        <v>130801</v>
      </c>
      <c r="Z2" s="48">
        <v>130851</v>
      </c>
      <c r="AA2" s="48">
        <v>120510</v>
      </c>
      <c r="AB2" s="48">
        <v>130801</v>
      </c>
      <c r="AC2" s="37"/>
      <c r="AD2" s="37"/>
      <c r="AE2" s="37"/>
    </row>
    <row r="3" spans="1:31" ht="12.75" customHeight="1">
      <c r="A3" s="37" t="s">
        <v>220</v>
      </c>
      <c r="B3" s="37" t="s">
        <v>220</v>
      </c>
      <c r="C3" s="48">
        <v>585347</v>
      </c>
      <c r="D3" s="48">
        <v>476046</v>
      </c>
      <c r="E3" s="48">
        <v>120566</v>
      </c>
      <c r="F3" s="48">
        <v>120610</v>
      </c>
      <c r="G3" s="48">
        <v>476078</v>
      </c>
      <c r="H3" s="48">
        <v>120510</v>
      </c>
      <c r="I3" s="48">
        <v>110702</v>
      </c>
      <c r="J3" s="48">
        <v>697012</v>
      </c>
      <c r="K3" s="48">
        <v>120500</v>
      </c>
      <c r="L3" s="48">
        <v>655115</v>
      </c>
      <c r="M3" s="48">
        <v>505030</v>
      </c>
      <c r="N3" s="48">
        <v>504566</v>
      </c>
      <c r="O3" s="48">
        <v>130940</v>
      </c>
      <c r="P3" s="48">
        <v>110350</v>
      </c>
      <c r="Q3" s="48">
        <v>120500</v>
      </c>
      <c r="R3" s="48">
        <v>120510</v>
      </c>
      <c r="S3" s="48">
        <v>697012</v>
      </c>
      <c r="T3" s="48">
        <v>504591</v>
      </c>
      <c r="U3" s="48">
        <v>530160</v>
      </c>
      <c r="V3" s="48">
        <v>504591</v>
      </c>
      <c r="W3" s="48">
        <v>130940</v>
      </c>
      <c r="X3" s="48">
        <v>654098</v>
      </c>
      <c r="Y3" s="48">
        <v>120511</v>
      </c>
      <c r="Z3" s="48">
        <v>120515</v>
      </c>
      <c r="AA3" s="48">
        <v>120610</v>
      </c>
      <c r="AB3" s="48">
        <v>504500</v>
      </c>
      <c r="AC3" s="37"/>
      <c r="AD3" s="37"/>
      <c r="AE3" s="37"/>
    </row>
    <row r="4" spans="1:31" ht="12.75" customHeight="1">
      <c r="A4" s="37" t="s">
        <v>221</v>
      </c>
      <c r="B4" s="37" t="s">
        <v>221</v>
      </c>
      <c r="C4" s="48">
        <v>585671</v>
      </c>
      <c r="D4" s="48">
        <v>476019</v>
      </c>
      <c r="E4" s="48">
        <v>120567</v>
      </c>
      <c r="F4" s="48">
        <v>120625</v>
      </c>
      <c r="G4" s="48">
        <v>476079</v>
      </c>
      <c r="H4" s="48">
        <v>120610</v>
      </c>
      <c r="I4" s="48">
        <v>110703</v>
      </c>
      <c r="J4" s="48">
        <v>655105</v>
      </c>
      <c r="K4" s="48">
        <v>505029</v>
      </c>
      <c r="L4" s="48">
        <v>655105</v>
      </c>
      <c r="M4" s="48">
        <v>562002</v>
      </c>
      <c r="N4" s="48">
        <v>504576</v>
      </c>
      <c r="O4" s="48">
        <v>120500</v>
      </c>
      <c r="P4" s="48">
        <v>130940</v>
      </c>
      <c r="Q4" s="48">
        <v>505029</v>
      </c>
      <c r="R4" s="48">
        <v>504724</v>
      </c>
      <c r="S4" s="48">
        <v>655105</v>
      </c>
      <c r="T4" s="48">
        <v>504559</v>
      </c>
      <c r="U4" s="48">
        <v>504593</v>
      </c>
      <c r="V4" s="48">
        <v>504594</v>
      </c>
      <c r="W4" s="48">
        <v>120500</v>
      </c>
      <c r="X4" s="48">
        <v>655120</v>
      </c>
      <c r="Y4" s="48">
        <v>110350</v>
      </c>
      <c r="Z4" s="48">
        <v>530161</v>
      </c>
      <c r="AA4" s="48">
        <v>120625</v>
      </c>
      <c r="AB4" s="48">
        <v>504525</v>
      </c>
      <c r="AC4" s="37"/>
      <c r="AD4" s="37"/>
      <c r="AE4" s="37"/>
    </row>
    <row r="5" spans="1:31" ht="12.75" customHeight="1">
      <c r="A5" s="37"/>
      <c r="B5" s="37"/>
      <c r="C5" s="48">
        <v>120562</v>
      </c>
      <c r="D5" s="48">
        <v>476005</v>
      </c>
      <c r="E5" s="48">
        <v>120568</v>
      </c>
      <c r="F5" s="48">
        <v>114286</v>
      </c>
      <c r="G5" s="48">
        <v>17</v>
      </c>
      <c r="H5" s="37">
        <v>120625</v>
      </c>
      <c r="I5" s="37">
        <v>110704</v>
      </c>
      <c r="J5" s="37">
        <v>561170</v>
      </c>
      <c r="K5" s="37">
        <v>505030</v>
      </c>
      <c r="L5" s="37">
        <v>655393</v>
      </c>
      <c r="M5" s="37">
        <v>562003</v>
      </c>
      <c r="N5" s="37">
        <v>599201</v>
      </c>
      <c r="O5" s="37">
        <v>120610</v>
      </c>
      <c r="P5" s="37">
        <v>120500</v>
      </c>
      <c r="Q5" s="37">
        <v>505030</v>
      </c>
      <c r="R5" s="37">
        <v>504725</v>
      </c>
      <c r="S5" s="37">
        <v>655388</v>
      </c>
      <c r="T5" s="37">
        <v>201032</v>
      </c>
      <c r="U5" s="37">
        <v>504591</v>
      </c>
      <c r="V5" s="37">
        <v>504592</v>
      </c>
      <c r="W5" s="37">
        <v>120555</v>
      </c>
      <c r="X5" s="37">
        <v>634401</v>
      </c>
      <c r="Y5" s="37">
        <v>390542</v>
      </c>
      <c r="Z5" s="37">
        <v>504530</v>
      </c>
      <c r="AA5" s="37">
        <v>114286</v>
      </c>
      <c r="AB5" s="37">
        <v>530161</v>
      </c>
      <c r="AC5" s="37"/>
      <c r="AD5" s="37"/>
      <c r="AE5" s="37"/>
    </row>
    <row r="6" spans="1:31" ht="12.75" customHeight="1">
      <c r="A6" s="37"/>
      <c r="B6" s="37"/>
      <c r="C6" s="48">
        <v>120572</v>
      </c>
      <c r="D6" s="48">
        <v>476002</v>
      </c>
      <c r="E6" s="48">
        <v>120610</v>
      </c>
      <c r="F6" s="48">
        <v>120820</v>
      </c>
      <c r="G6" s="48" t="s">
        <v>222</v>
      </c>
      <c r="H6" s="37">
        <v>120747</v>
      </c>
      <c r="I6" s="37">
        <v>110705</v>
      </c>
      <c r="J6" s="37">
        <v>655120</v>
      </c>
      <c r="K6" s="37">
        <v>504598</v>
      </c>
      <c r="L6" s="37">
        <v>561167</v>
      </c>
      <c r="M6" s="37">
        <v>634199</v>
      </c>
      <c r="N6" s="37">
        <v>599202</v>
      </c>
      <c r="O6" s="37">
        <v>114286</v>
      </c>
      <c r="P6" s="37">
        <v>114286</v>
      </c>
      <c r="Q6" s="37">
        <v>530160</v>
      </c>
      <c r="R6" s="37">
        <v>504726</v>
      </c>
      <c r="S6" s="37">
        <v>697010</v>
      </c>
      <c r="T6" s="48">
        <v>17</v>
      </c>
      <c r="U6" s="37">
        <v>504594</v>
      </c>
      <c r="V6" s="48">
        <v>17</v>
      </c>
      <c r="W6" s="37">
        <v>120562</v>
      </c>
      <c r="X6" s="37">
        <v>560107</v>
      </c>
      <c r="Y6" s="37">
        <v>110000</v>
      </c>
      <c r="Z6" s="37">
        <v>504560</v>
      </c>
      <c r="AA6" s="37">
        <v>114275</v>
      </c>
      <c r="AB6" s="37">
        <v>561201</v>
      </c>
      <c r="AC6" s="37"/>
      <c r="AD6" s="37"/>
      <c r="AE6" s="37"/>
    </row>
    <row r="7" spans="1:31" ht="12.75" customHeight="1">
      <c r="A7" s="37"/>
      <c r="B7" s="37"/>
      <c r="C7" s="48">
        <v>387122</v>
      </c>
      <c r="D7" s="48">
        <v>476057</v>
      </c>
      <c r="E7" s="48">
        <v>120635</v>
      </c>
      <c r="F7" s="48">
        <v>199000</v>
      </c>
      <c r="G7" s="48" t="s">
        <v>223</v>
      </c>
      <c r="H7" s="37">
        <v>120820</v>
      </c>
      <c r="I7" s="37">
        <v>120510</v>
      </c>
      <c r="J7" s="37">
        <v>634401</v>
      </c>
      <c r="K7" s="37">
        <v>530160</v>
      </c>
      <c r="L7" s="37">
        <v>634352</v>
      </c>
      <c r="M7" s="37">
        <v>655011</v>
      </c>
      <c r="N7" s="37">
        <v>562301</v>
      </c>
      <c r="O7" s="37">
        <v>114249</v>
      </c>
      <c r="P7" s="37">
        <v>114249</v>
      </c>
      <c r="Q7" s="37">
        <v>562002</v>
      </c>
      <c r="R7" s="37">
        <v>571106</v>
      </c>
      <c r="S7" s="37">
        <v>620068</v>
      </c>
      <c r="T7" s="48" t="s">
        <v>222</v>
      </c>
      <c r="U7" s="37">
        <v>504592</v>
      </c>
      <c r="V7" s="48" t="s">
        <v>222</v>
      </c>
      <c r="W7" s="37">
        <v>120610</v>
      </c>
      <c r="X7" s="37">
        <v>634162</v>
      </c>
      <c r="Y7" s="37">
        <v>301122</v>
      </c>
      <c r="Z7" s="37">
        <v>562220</v>
      </c>
      <c r="AA7" s="37">
        <v>120820</v>
      </c>
      <c r="AB7" s="37">
        <v>504672</v>
      </c>
      <c r="AC7" s="37"/>
      <c r="AD7" s="37"/>
      <c r="AE7" s="37"/>
    </row>
    <row r="8" spans="1:31" ht="12.75" customHeight="1">
      <c r="A8" s="37"/>
      <c r="B8" s="37"/>
      <c r="C8" s="48">
        <v>504566</v>
      </c>
      <c r="D8" s="48">
        <v>476056</v>
      </c>
      <c r="E8" s="48">
        <v>120747</v>
      </c>
      <c r="F8" s="48">
        <v>120747</v>
      </c>
      <c r="G8" s="48" t="s">
        <v>224</v>
      </c>
      <c r="H8" s="48">
        <v>120860</v>
      </c>
      <c r="I8" s="48">
        <v>130801</v>
      </c>
      <c r="J8" s="48">
        <v>634402</v>
      </c>
      <c r="K8" s="48">
        <v>634199</v>
      </c>
      <c r="L8" s="48">
        <v>17</v>
      </c>
      <c r="M8" s="37">
        <v>634419</v>
      </c>
      <c r="N8" s="37">
        <v>562302</v>
      </c>
      <c r="O8" s="37">
        <v>120860</v>
      </c>
      <c r="P8" s="37">
        <v>114266</v>
      </c>
      <c r="Q8" s="37">
        <v>562011</v>
      </c>
      <c r="R8" s="37">
        <v>585714</v>
      </c>
      <c r="S8" s="37">
        <v>561170</v>
      </c>
      <c r="T8" s="48" t="s">
        <v>223</v>
      </c>
      <c r="U8" s="37">
        <v>562413</v>
      </c>
      <c r="V8" s="48" t="s">
        <v>223</v>
      </c>
      <c r="W8" s="37">
        <v>114286</v>
      </c>
      <c r="X8" s="37">
        <v>719210</v>
      </c>
      <c r="Y8" s="37">
        <v>388135</v>
      </c>
      <c r="Z8" s="37">
        <v>562006</v>
      </c>
      <c r="AA8" s="37">
        <v>199000</v>
      </c>
      <c r="AB8" s="37">
        <v>561201</v>
      </c>
      <c r="AC8" s="37"/>
      <c r="AD8" s="37"/>
      <c r="AE8" s="37"/>
    </row>
    <row r="9" spans="1:31" ht="12.75" customHeight="1">
      <c r="A9" s="37"/>
      <c r="B9" s="37"/>
      <c r="C9" s="48">
        <v>505033</v>
      </c>
      <c r="D9" s="48">
        <v>476061</v>
      </c>
      <c r="E9" s="48">
        <v>387131</v>
      </c>
      <c r="F9" s="48">
        <v>120860</v>
      </c>
      <c r="G9" s="48" t="s">
        <v>225</v>
      </c>
      <c r="H9" s="48">
        <v>199000</v>
      </c>
      <c r="I9" s="48">
        <v>504496</v>
      </c>
      <c r="J9" s="48">
        <v>634360</v>
      </c>
      <c r="K9" s="48">
        <v>655011</v>
      </c>
      <c r="L9" s="48" t="s">
        <v>222</v>
      </c>
      <c r="M9" s="37">
        <v>655125</v>
      </c>
      <c r="N9" s="37">
        <v>562303</v>
      </c>
      <c r="O9" s="37">
        <v>120746</v>
      </c>
      <c r="P9" s="37">
        <v>120860</v>
      </c>
      <c r="Q9" s="37">
        <v>562003</v>
      </c>
      <c r="R9" s="37">
        <v>585718</v>
      </c>
      <c r="S9" s="37">
        <v>655120</v>
      </c>
      <c r="T9" s="48" t="s">
        <v>224</v>
      </c>
      <c r="U9" s="37">
        <v>562414</v>
      </c>
      <c r="V9" s="48" t="s">
        <v>224</v>
      </c>
      <c r="W9" s="37">
        <v>114249</v>
      </c>
      <c r="X9" s="37">
        <v>561106</v>
      </c>
      <c r="Y9" s="37">
        <v>504523</v>
      </c>
      <c r="Z9" s="37">
        <v>562002</v>
      </c>
      <c r="AA9" s="37">
        <v>120747</v>
      </c>
      <c r="AB9" s="37">
        <v>655146</v>
      </c>
      <c r="AC9" s="37"/>
      <c r="AD9" s="37"/>
      <c r="AE9" s="37"/>
    </row>
    <row r="10" spans="1:31" ht="12.75" customHeight="1">
      <c r="A10" s="37"/>
      <c r="B10" s="37"/>
      <c r="C10" s="48">
        <v>505034</v>
      </c>
      <c r="D10" s="48">
        <v>476060</v>
      </c>
      <c r="E10" s="48">
        <v>429737</v>
      </c>
      <c r="F10" s="48">
        <v>120785</v>
      </c>
      <c r="G10" s="48" t="s">
        <v>226</v>
      </c>
      <c r="H10" s="48">
        <v>202055</v>
      </c>
      <c r="I10" s="48">
        <v>504500</v>
      </c>
      <c r="J10" s="48">
        <v>634419</v>
      </c>
      <c r="K10" s="48">
        <v>17</v>
      </c>
      <c r="L10" s="48" t="s">
        <v>223</v>
      </c>
      <c r="M10" s="48">
        <v>17</v>
      </c>
      <c r="N10" s="37">
        <v>562304</v>
      </c>
      <c r="O10" s="37">
        <v>130941</v>
      </c>
      <c r="P10" s="37">
        <v>120746</v>
      </c>
      <c r="Q10" s="37">
        <v>634199</v>
      </c>
      <c r="R10" s="37">
        <v>114251</v>
      </c>
      <c r="S10" s="37">
        <v>634401</v>
      </c>
      <c r="T10" s="48" t="s">
        <v>225</v>
      </c>
      <c r="U10" s="37">
        <v>562415</v>
      </c>
      <c r="V10" s="48" t="s">
        <v>225</v>
      </c>
      <c r="W10" s="37">
        <v>114255</v>
      </c>
      <c r="X10" s="48">
        <v>17</v>
      </c>
      <c r="Y10" s="37">
        <v>504535</v>
      </c>
      <c r="Z10" s="37">
        <v>634402</v>
      </c>
      <c r="AA10" s="37">
        <v>120860</v>
      </c>
      <c r="AB10" s="37">
        <v>634204</v>
      </c>
      <c r="AC10" s="37"/>
      <c r="AD10" s="37"/>
      <c r="AE10" s="37"/>
    </row>
    <row r="11" spans="1:31" ht="12.75" customHeight="1">
      <c r="A11" s="37"/>
      <c r="B11" s="37"/>
      <c r="C11" s="48">
        <v>505044</v>
      </c>
      <c r="D11" s="48">
        <v>476065</v>
      </c>
      <c r="E11" s="48">
        <v>456147</v>
      </c>
      <c r="F11" s="48">
        <v>120562</v>
      </c>
      <c r="G11" s="37" t="s">
        <v>192</v>
      </c>
      <c r="H11" s="48">
        <v>380201</v>
      </c>
      <c r="I11" s="48">
        <v>504560</v>
      </c>
      <c r="J11" s="48">
        <v>388051</v>
      </c>
      <c r="K11" s="48" t="s">
        <v>222</v>
      </c>
      <c r="L11" s="48" t="s">
        <v>224</v>
      </c>
      <c r="M11" s="48" t="s">
        <v>222</v>
      </c>
      <c r="N11" s="37">
        <v>634401</v>
      </c>
      <c r="O11" s="37">
        <v>120784</v>
      </c>
      <c r="P11" s="37">
        <v>130941</v>
      </c>
      <c r="Q11" s="37">
        <v>655011</v>
      </c>
      <c r="R11" s="48">
        <v>17</v>
      </c>
      <c r="S11" s="37">
        <v>634402</v>
      </c>
      <c r="T11" s="48" t="s">
        <v>226</v>
      </c>
      <c r="U11" s="37">
        <v>530161</v>
      </c>
      <c r="V11" s="48" t="s">
        <v>226</v>
      </c>
      <c r="W11" s="37">
        <v>114280</v>
      </c>
      <c r="X11" s="48" t="s">
        <v>222</v>
      </c>
      <c r="Y11" s="37">
        <v>504566</v>
      </c>
      <c r="Z11" s="37">
        <v>655105</v>
      </c>
      <c r="AA11" s="37">
        <v>120785</v>
      </c>
      <c r="AB11" s="48">
        <v>17</v>
      </c>
      <c r="AC11" s="37"/>
      <c r="AD11" s="37"/>
      <c r="AE11" s="37"/>
    </row>
    <row r="12" spans="1:31" ht="12.75" customHeight="1">
      <c r="A12" s="37"/>
      <c r="B12" s="37"/>
      <c r="C12" s="48">
        <v>505045</v>
      </c>
      <c r="D12" s="48">
        <v>476064</v>
      </c>
      <c r="E12" s="48">
        <v>476000</v>
      </c>
      <c r="F12" s="48">
        <v>120563</v>
      </c>
      <c r="G12" s="37" t="s">
        <v>220</v>
      </c>
      <c r="H12" s="48">
        <v>380205</v>
      </c>
      <c r="I12" s="48">
        <v>504561</v>
      </c>
      <c r="J12" s="48">
        <v>388051</v>
      </c>
      <c r="K12" s="48" t="s">
        <v>223</v>
      </c>
      <c r="L12" s="48" t="s">
        <v>225</v>
      </c>
      <c r="M12" s="48" t="s">
        <v>223</v>
      </c>
      <c r="N12" s="37">
        <v>561201</v>
      </c>
      <c r="O12" s="37">
        <v>130850</v>
      </c>
      <c r="P12" s="37">
        <v>120784</v>
      </c>
      <c r="Q12" s="48">
        <v>17</v>
      </c>
      <c r="R12" s="48" t="s">
        <v>222</v>
      </c>
      <c r="S12" s="37">
        <v>634360</v>
      </c>
      <c r="T12" s="37" t="s">
        <v>192</v>
      </c>
      <c r="U12" s="37">
        <v>562416</v>
      </c>
      <c r="V12" s="37" t="s">
        <v>192</v>
      </c>
      <c r="W12" s="37">
        <v>120784</v>
      </c>
      <c r="X12" s="48" t="s">
        <v>223</v>
      </c>
      <c r="Y12" s="37">
        <v>504581</v>
      </c>
      <c r="Z12" s="37">
        <v>655377</v>
      </c>
      <c r="AA12" s="37">
        <v>120784</v>
      </c>
      <c r="AB12" s="48" t="s">
        <v>222</v>
      </c>
      <c r="AC12" s="37"/>
      <c r="AD12" s="37"/>
      <c r="AE12" s="37"/>
    </row>
    <row r="13" spans="1:31" ht="12.75" customHeight="1">
      <c r="A13" s="37"/>
      <c r="B13" s="37"/>
      <c r="C13" s="48">
        <v>505046</v>
      </c>
      <c r="D13" s="48">
        <v>492738</v>
      </c>
      <c r="E13" s="48">
        <v>476012</v>
      </c>
      <c r="F13" s="48">
        <v>492654</v>
      </c>
      <c r="G13" s="37" t="s">
        <v>221</v>
      </c>
      <c r="H13" s="48">
        <v>380218</v>
      </c>
      <c r="I13" s="48">
        <v>505033</v>
      </c>
      <c r="J13" s="48">
        <v>717001</v>
      </c>
      <c r="K13" s="48" t="s">
        <v>224</v>
      </c>
      <c r="L13" s="48" t="s">
        <v>226</v>
      </c>
      <c r="M13" s="48" t="s">
        <v>224</v>
      </c>
      <c r="N13" s="48">
        <v>561203</v>
      </c>
      <c r="O13" s="48">
        <v>130942</v>
      </c>
      <c r="P13" s="48">
        <v>130850</v>
      </c>
      <c r="Q13" s="48" t="s">
        <v>222</v>
      </c>
      <c r="R13" s="48" t="s">
        <v>223</v>
      </c>
      <c r="S13" s="37">
        <v>634419</v>
      </c>
      <c r="T13" s="37" t="s">
        <v>220</v>
      </c>
      <c r="U13" s="37">
        <v>504619</v>
      </c>
      <c r="V13" s="37" t="s">
        <v>220</v>
      </c>
      <c r="W13" s="37">
        <v>130941</v>
      </c>
      <c r="X13" s="48" t="s">
        <v>224</v>
      </c>
      <c r="Y13" s="37">
        <v>562012</v>
      </c>
      <c r="Z13" s="37">
        <v>655125</v>
      </c>
      <c r="AA13" s="37">
        <v>120800</v>
      </c>
      <c r="AB13" s="48" t="s">
        <v>223</v>
      </c>
      <c r="AC13" s="37"/>
      <c r="AD13" s="37"/>
      <c r="AE13" s="37"/>
    </row>
    <row r="14" spans="1:31" ht="12.75" customHeight="1">
      <c r="A14" s="37"/>
      <c r="B14" s="37"/>
      <c r="C14" s="48">
        <v>505048</v>
      </c>
      <c r="D14" s="48">
        <v>492654</v>
      </c>
      <c r="E14" s="48">
        <v>476018</v>
      </c>
      <c r="F14" s="48">
        <v>130841</v>
      </c>
      <c r="G14" s="48"/>
      <c r="H14" s="48">
        <v>390687</v>
      </c>
      <c r="I14" s="48">
        <v>17</v>
      </c>
      <c r="J14" s="37">
        <v>390536</v>
      </c>
      <c r="K14" s="48" t="s">
        <v>225</v>
      </c>
      <c r="L14" s="37" t="s">
        <v>192</v>
      </c>
      <c r="M14" s="48" t="s">
        <v>225</v>
      </c>
      <c r="N14" s="37">
        <v>561163</v>
      </c>
      <c r="O14" s="37">
        <v>571200</v>
      </c>
      <c r="P14" s="37">
        <v>130942</v>
      </c>
      <c r="Q14" s="48" t="s">
        <v>223</v>
      </c>
      <c r="R14" s="48" t="s">
        <v>224</v>
      </c>
      <c r="S14" s="37">
        <v>388051</v>
      </c>
      <c r="T14" s="37" t="s">
        <v>221</v>
      </c>
      <c r="U14" s="37">
        <v>561123</v>
      </c>
      <c r="V14" s="37" t="s">
        <v>221</v>
      </c>
      <c r="W14" s="37">
        <v>130942</v>
      </c>
      <c r="X14" s="48" t="s">
        <v>225</v>
      </c>
      <c r="Y14" s="37">
        <v>562013</v>
      </c>
      <c r="Z14" s="48">
        <v>17</v>
      </c>
      <c r="AA14" s="37">
        <v>120555</v>
      </c>
      <c r="AB14" s="48" t="s">
        <v>224</v>
      </c>
      <c r="AC14" s="37"/>
      <c r="AD14" s="37"/>
      <c r="AE14" s="37"/>
    </row>
    <row r="15" spans="1:31" ht="12.75" customHeight="1">
      <c r="A15" s="37"/>
      <c r="B15" s="37"/>
      <c r="C15" s="48">
        <v>561139</v>
      </c>
      <c r="D15" s="48">
        <v>492728</v>
      </c>
      <c r="E15" s="48">
        <v>476019</v>
      </c>
      <c r="F15" s="48">
        <v>524525</v>
      </c>
      <c r="G15" s="48"/>
      <c r="H15" s="48">
        <v>492654</v>
      </c>
      <c r="I15" s="48" t="s">
        <v>222</v>
      </c>
      <c r="J15" s="37">
        <v>799097</v>
      </c>
      <c r="K15" s="48" t="s">
        <v>226</v>
      </c>
      <c r="L15" s="37" t="s">
        <v>220</v>
      </c>
      <c r="M15" s="48" t="s">
        <v>226</v>
      </c>
      <c r="N15" s="37">
        <v>561141</v>
      </c>
      <c r="O15" s="37">
        <v>201030</v>
      </c>
      <c r="P15" s="37">
        <v>210019</v>
      </c>
      <c r="Q15" s="48" t="s">
        <v>224</v>
      </c>
      <c r="R15" s="48" t="s">
        <v>225</v>
      </c>
      <c r="S15" s="37">
        <v>717001</v>
      </c>
      <c r="T15" s="37"/>
      <c r="U15" s="37">
        <v>711214</v>
      </c>
      <c r="V15" s="37"/>
      <c r="W15" s="37">
        <v>110800</v>
      </c>
      <c r="X15" s="48" t="s">
        <v>226</v>
      </c>
      <c r="Y15" s="37">
        <v>530160</v>
      </c>
      <c r="Z15" s="48" t="s">
        <v>222</v>
      </c>
      <c r="AA15" s="37">
        <v>120562</v>
      </c>
      <c r="AB15" s="48" t="s">
        <v>225</v>
      </c>
      <c r="AC15" s="37"/>
      <c r="AD15" s="37"/>
      <c r="AE15" s="37"/>
    </row>
    <row r="16" spans="1:31" ht="12.75" customHeight="1">
      <c r="A16" s="37"/>
      <c r="B16" s="37"/>
      <c r="C16" s="48">
        <v>561147</v>
      </c>
      <c r="D16" s="48">
        <v>492651</v>
      </c>
      <c r="E16" s="48">
        <v>476020</v>
      </c>
      <c r="F16" s="48">
        <v>202055</v>
      </c>
      <c r="G16" s="48"/>
      <c r="H16" s="48">
        <v>504515</v>
      </c>
      <c r="I16" s="48" t="s">
        <v>223</v>
      </c>
      <c r="J16" s="37">
        <v>974008</v>
      </c>
      <c r="K16" s="37" t="s">
        <v>192</v>
      </c>
      <c r="L16" s="37" t="s">
        <v>221</v>
      </c>
      <c r="M16" s="37" t="s">
        <v>192</v>
      </c>
      <c r="N16" s="37">
        <v>504570</v>
      </c>
      <c r="O16" s="37">
        <v>201032</v>
      </c>
      <c r="P16" s="37">
        <v>571200</v>
      </c>
      <c r="Q16" s="48" t="s">
        <v>225</v>
      </c>
      <c r="R16" s="48" t="s">
        <v>226</v>
      </c>
      <c r="S16" s="37">
        <v>390536</v>
      </c>
      <c r="T16" s="37"/>
      <c r="U16" s="48">
        <v>17</v>
      </c>
      <c r="V16" s="37"/>
      <c r="W16" s="37">
        <v>210019</v>
      </c>
      <c r="X16" s="37" t="s">
        <v>192</v>
      </c>
      <c r="Y16" s="37">
        <v>585405</v>
      </c>
      <c r="Z16" s="48" t="s">
        <v>223</v>
      </c>
      <c r="AA16" s="37">
        <v>120563</v>
      </c>
      <c r="AB16" s="48" t="s">
        <v>226</v>
      </c>
      <c r="AC16" s="37"/>
      <c r="AD16" s="37"/>
      <c r="AE16" s="37"/>
    </row>
    <row r="17" spans="3:28" ht="12.75" customHeight="1">
      <c r="C17" s="48">
        <v>561148</v>
      </c>
      <c r="D17" s="48">
        <v>17</v>
      </c>
      <c r="E17" s="48">
        <v>486120</v>
      </c>
      <c r="F17" s="48">
        <v>202056</v>
      </c>
      <c r="G17" s="48"/>
      <c r="H17" s="48">
        <v>504516</v>
      </c>
      <c r="I17" s="48" t="s">
        <v>224</v>
      </c>
      <c r="J17" s="48">
        <v>110701</v>
      </c>
      <c r="K17" s="37" t="s">
        <v>220</v>
      </c>
      <c r="L17" s="48"/>
      <c r="M17" s="37" t="s">
        <v>220</v>
      </c>
      <c r="N17" s="48">
        <v>504577</v>
      </c>
      <c r="O17" s="48">
        <v>301312</v>
      </c>
      <c r="P17" s="48">
        <v>201030</v>
      </c>
      <c r="Q17" s="48" t="s">
        <v>226</v>
      </c>
      <c r="R17" s="37" t="s">
        <v>192</v>
      </c>
      <c r="S17" s="48">
        <v>110701</v>
      </c>
      <c r="T17" s="37"/>
      <c r="U17" s="48" t="s">
        <v>222</v>
      </c>
      <c r="V17" s="37"/>
      <c r="W17" s="37">
        <v>571200</v>
      </c>
      <c r="X17" s="37" t="s">
        <v>220</v>
      </c>
      <c r="Y17" s="37">
        <v>585412</v>
      </c>
      <c r="Z17" s="48" t="s">
        <v>224</v>
      </c>
      <c r="AA17" s="37">
        <v>492654</v>
      </c>
      <c r="AB17" s="37" t="s">
        <v>192</v>
      </c>
    </row>
    <row r="18" spans="3:28" ht="12.75" customHeight="1">
      <c r="C18" s="48">
        <v>561149</v>
      </c>
      <c r="D18" s="48" t="s">
        <v>222</v>
      </c>
      <c r="E18" s="48">
        <v>492655</v>
      </c>
      <c r="F18" s="48">
        <v>301010</v>
      </c>
      <c r="G18" s="48"/>
      <c r="H18" s="48">
        <v>504546</v>
      </c>
      <c r="I18" s="48" t="s">
        <v>225</v>
      </c>
      <c r="J18" s="48">
        <v>110702</v>
      </c>
      <c r="K18" s="37" t="s">
        <v>221</v>
      </c>
      <c r="L18" s="48"/>
      <c r="M18" s="37" t="s">
        <v>221</v>
      </c>
      <c r="N18" s="48">
        <v>599203</v>
      </c>
      <c r="O18" s="48">
        <v>380215</v>
      </c>
      <c r="P18" s="48">
        <v>201032</v>
      </c>
      <c r="Q18" s="37" t="s">
        <v>192</v>
      </c>
      <c r="R18" s="37" t="s">
        <v>220</v>
      </c>
      <c r="S18" s="48">
        <v>110702</v>
      </c>
      <c r="T18" s="37"/>
      <c r="U18" s="48" t="s">
        <v>223</v>
      </c>
      <c r="V18" s="37"/>
      <c r="W18" s="37">
        <v>862102</v>
      </c>
      <c r="X18" s="37" t="s">
        <v>221</v>
      </c>
      <c r="Y18" s="37">
        <v>585424</v>
      </c>
      <c r="Z18" s="48" t="s">
        <v>225</v>
      </c>
      <c r="AA18" s="37">
        <v>130841</v>
      </c>
      <c r="AB18" s="37" t="s">
        <v>220</v>
      </c>
    </row>
    <row r="19" spans="3:28" ht="12.75" customHeight="1">
      <c r="C19" s="48">
        <v>561154</v>
      </c>
      <c r="D19" s="48" t="s">
        <v>223</v>
      </c>
      <c r="E19" s="48">
        <v>492664</v>
      </c>
      <c r="F19" s="48">
        <v>390341</v>
      </c>
      <c r="G19" s="48"/>
      <c r="H19" s="48">
        <v>504550</v>
      </c>
      <c r="I19" s="48" t="s">
        <v>226</v>
      </c>
      <c r="J19" s="48">
        <v>110703</v>
      </c>
      <c r="K19" s="48"/>
      <c r="L19" s="48"/>
      <c r="M19" s="48"/>
      <c r="N19" s="48">
        <v>599204</v>
      </c>
      <c r="O19" s="48">
        <v>380207</v>
      </c>
      <c r="P19" s="48">
        <v>301312</v>
      </c>
      <c r="Q19" s="37" t="s">
        <v>220</v>
      </c>
      <c r="R19" s="37" t="s">
        <v>221</v>
      </c>
      <c r="S19" s="48">
        <v>110703</v>
      </c>
      <c r="T19" s="37"/>
      <c r="U19" s="48" t="s">
        <v>224</v>
      </c>
      <c r="V19" s="37"/>
      <c r="W19" s="48">
        <v>380215</v>
      </c>
      <c r="X19" s="37"/>
      <c r="Y19" s="48">
        <v>17</v>
      </c>
      <c r="Z19" s="48" t="s">
        <v>226</v>
      </c>
      <c r="AA19" s="37">
        <v>120630</v>
      </c>
      <c r="AB19" s="37" t="s">
        <v>221</v>
      </c>
    </row>
    <row r="20" spans="3:28" ht="12.75" customHeight="1">
      <c r="C20" s="48">
        <v>561155</v>
      </c>
      <c r="D20" s="48" t="s">
        <v>224</v>
      </c>
      <c r="E20" s="48">
        <v>492665</v>
      </c>
      <c r="F20" s="48">
        <v>380205</v>
      </c>
      <c r="G20" s="48"/>
      <c r="H20" s="48">
        <v>504558</v>
      </c>
      <c r="I20" s="37" t="s">
        <v>192</v>
      </c>
      <c r="J20" s="48">
        <v>110704</v>
      </c>
      <c r="K20" s="37"/>
      <c r="L20" s="37"/>
      <c r="M20" s="37"/>
      <c r="N20" s="48">
        <v>562305</v>
      </c>
      <c r="O20" s="48">
        <v>380212</v>
      </c>
      <c r="P20" s="48">
        <v>380207</v>
      </c>
      <c r="Q20" s="37" t="s">
        <v>221</v>
      </c>
      <c r="R20" s="37"/>
      <c r="S20" s="48">
        <v>110704</v>
      </c>
      <c r="T20" s="37"/>
      <c r="U20" s="48" t="s">
        <v>225</v>
      </c>
      <c r="V20" s="37"/>
      <c r="W20" s="48">
        <v>380206</v>
      </c>
      <c r="X20" s="37"/>
      <c r="Y20" s="48" t="s">
        <v>222</v>
      </c>
      <c r="Z20" s="37" t="s">
        <v>192</v>
      </c>
      <c r="AA20" s="37">
        <v>120631</v>
      </c>
      <c r="AB20" s="37"/>
    </row>
    <row r="21" spans="3:28" ht="12.75" customHeight="1">
      <c r="C21" s="48">
        <v>561156</v>
      </c>
      <c r="D21" s="48" t="s">
        <v>225</v>
      </c>
      <c r="E21" s="48">
        <v>492675</v>
      </c>
      <c r="F21" s="48">
        <v>380218</v>
      </c>
      <c r="G21" s="48"/>
      <c r="H21" s="48">
        <v>504564</v>
      </c>
      <c r="I21" s="37" t="s">
        <v>220</v>
      </c>
      <c r="J21" s="48">
        <v>110705</v>
      </c>
      <c r="K21" s="37"/>
      <c r="L21" s="37"/>
      <c r="M21" s="37"/>
      <c r="N21" s="48">
        <v>562306</v>
      </c>
      <c r="O21" s="48">
        <v>301322</v>
      </c>
      <c r="P21" s="48">
        <v>380212</v>
      </c>
      <c r="Q21" s="37"/>
      <c r="R21" s="37"/>
      <c r="S21" s="48">
        <v>110705</v>
      </c>
      <c r="T21" s="37"/>
      <c r="U21" s="48" t="s">
        <v>226</v>
      </c>
      <c r="V21" s="37"/>
      <c r="W21" s="48">
        <v>380207</v>
      </c>
      <c r="X21" s="37"/>
      <c r="Y21" s="48" t="s">
        <v>223</v>
      </c>
      <c r="Z21" s="37" t="s">
        <v>220</v>
      </c>
      <c r="AA21" s="37">
        <v>120502</v>
      </c>
      <c r="AB21" s="37"/>
    </row>
    <row r="22" spans="3:28" ht="12.75" customHeight="1">
      <c r="C22" s="48">
        <v>561157</v>
      </c>
      <c r="D22" s="48" t="s">
        <v>226</v>
      </c>
      <c r="E22" s="48">
        <v>492701</v>
      </c>
      <c r="F22" s="48">
        <v>524299</v>
      </c>
      <c r="G22" s="48"/>
      <c r="H22" s="48">
        <v>504582</v>
      </c>
      <c r="I22" s="37" t="s">
        <v>221</v>
      </c>
      <c r="J22" s="48">
        <v>634409</v>
      </c>
      <c r="K22" s="37"/>
      <c r="L22" s="37"/>
      <c r="M22" s="37"/>
      <c r="N22" s="48">
        <v>634402</v>
      </c>
      <c r="O22" s="48">
        <v>388066</v>
      </c>
      <c r="P22" s="48">
        <v>301322</v>
      </c>
      <c r="Q22" s="37"/>
      <c r="R22" s="37"/>
      <c r="S22" s="48">
        <v>17</v>
      </c>
      <c r="T22" s="37"/>
      <c r="U22" s="37" t="s">
        <v>192</v>
      </c>
      <c r="V22" s="37"/>
      <c r="W22" s="37">
        <v>380201</v>
      </c>
      <c r="X22" s="37"/>
      <c r="Y22" s="48" t="s">
        <v>224</v>
      </c>
      <c r="Z22" s="37" t="s">
        <v>221</v>
      </c>
      <c r="AA22" s="37">
        <v>201050</v>
      </c>
      <c r="AB22" s="37"/>
    </row>
    <row r="23" spans="3:28" ht="12.75" customHeight="1">
      <c r="C23" s="48">
        <v>562400</v>
      </c>
      <c r="D23" s="37" t="s">
        <v>192</v>
      </c>
      <c r="E23" s="48">
        <v>492722</v>
      </c>
      <c r="F23" s="48">
        <v>504500</v>
      </c>
      <c r="G23" s="48"/>
      <c r="H23" s="48">
        <v>504621</v>
      </c>
      <c r="I23" s="48"/>
      <c r="J23" s="48">
        <v>130851</v>
      </c>
      <c r="K23" s="48"/>
      <c r="L23" s="48"/>
      <c r="M23" s="48"/>
      <c r="N23" s="48">
        <v>561144</v>
      </c>
      <c r="O23" s="48">
        <v>520109</v>
      </c>
      <c r="P23" s="48">
        <v>388066</v>
      </c>
      <c r="Q23" s="48"/>
      <c r="R23" s="48"/>
      <c r="S23" s="48" t="s">
        <v>222</v>
      </c>
      <c r="T23" s="48"/>
      <c r="U23" s="37" t="s">
        <v>220</v>
      </c>
      <c r="V23" s="37"/>
      <c r="W23" s="37">
        <v>380212</v>
      </c>
      <c r="X23" s="37"/>
      <c r="Y23" s="48" t="s">
        <v>225</v>
      </c>
      <c r="Z23" s="37"/>
      <c r="AA23" s="37">
        <v>202055</v>
      </c>
      <c r="AB23" s="48"/>
    </row>
    <row r="24" spans="3:28" ht="12.75" customHeight="1">
      <c r="C24" s="48">
        <v>562401</v>
      </c>
      <c r="D24" s="37" t="s">
        <v>220</v>
      </c>
      <c r="E24" s="48">
        <v>492723</v>
      </c>
      <c r="F24" s="48">
        <v>504530</v>
      </c>
      <c r="G24" s="48"/>
      <c r="H24" s="48">
        <v>504624</v>
      </c>
      <c r="I24" s="48"/>
      <c r="J24" s="48">
        <v>17</v>
      </c>
      <c r="K24" s="48"/>
      <c r="L24" s="48"/>
      <c r="M24" s="48"/>
      <c r="N24" s="37">
        <v>561202</v>
      </c>
      <c r="O24" s="37">
        <v>520111</v>
      </c>
      <c r="P24" s="37">
        <v>520109</v>
      </c>
      <c r="Q24" s="48"/>
      <c r="R24" s="48"/>
      <c r="S24" s="48" t="s">
        <v>223</v>
      </c>
      <c r="T24" s="48"/>
      <c r="U24" s="37" t="s">
        <v>221</v>
      </c>
      <c r="V24" s="37"/>
      <c r="W24" s="37">
        <v>301322</v>
      </c>
      <c r="X24" s="37"/>
      <c r="Y24" s="48" t="s">
        <v>226</v>
      </c>
      <c r="Z24" s="37"/>
      <c r="AA24" s="37">
        <v>203030</v>
      </c>
      <c r="AB24" s="48"/>
    </row>
    <row r="25" spans="3:28" ht="12.75" customHeight="1">
      <c r="C25" s="48">
        <v>562402</v>
      </c>
      <c r="D25" s="37" t="s">
        <v>221</v>
      </c>
      <c r="E25" s="48">
        <v>492724</v>
      </c>
      <c r="F25" s="48">
        <v>504511</v>
      </c>
      <c r="G25" s="48"/>
      <c r="H25" s="48">
        <v>505050</v>
      </c>
      <c r="I25" s="48"/>
      <c r="J25" s="48" t="s">
        <v>222</v>
      </c>
      <c r="K25" s="48"/>
      <c r="L25" s="48"/>
      <c r="M25" s="48"/>
      <c r="N25" s="37">
        <v>561205</v>
      </c>
      <c r="O25" s="37">
        <v>520113</v>
      </c>
      <c r="P25" s="37">
        <v>520111</v>
      </c>
      <c r="Q25" s="48"/>
      <c r="R25" s="48"/>
      <c r="S25" s="48" t="s">
        <v>224</v>
      </c>
      <c r="T25" s="48"/>
      <c r="U25" s="48"/>
      <c r="V25" s="48"/>
      <c r="W25" s="37">
        <v>388066</v>
      </c>
      <c r="X25" s="48"/>
      <c r="Y25" s="37" t="s">
        <v>192</v>
      </c>
      <c r="Z25" s="37"/>
      <c r="AA25" s="37">
        <v>201041</v>
      </c>
      <c r="AB25" s="48"/>
    </row>
    <row r="26" spans="3:28" ht="12.75" customHeight="1">
      <c r="C26" s="48">
        <v>562403</v>
      </c>
      <c r="D26" s="37"/>
      <c r="E26" s="48">
        <v>492726</v>
      </c>
      <c r="F26" s="48">
        <v>504541</v>
      </c>
      <c r="G26" s="48"/>
      <c r="H26" s="48">
        <v>561106</v>
      </c>
      <c r="I26" s="48"/>
      <c r="J26" s="48" t="s">
        <v>223</v>
      </c>
      <c r="K26" s="48"/>
      <c r="L26" s="48"/>
      <c r="M26" s="48"/>
      <c r="N26" s="37">
        <v>561204</v>
      </c>
      <c r="O26" s="37">
        <v>524299</v>
      </c>
      <c r="P26" s="37">
        <v>520113</v>
      </c>
      <c r="Q26" s="48"/>
      <c r="R26" s="48"/>
      <c r="S26" s="48" t="s">
        <v>225</v>
      </c>
      <c r="T26" s="48"/>
      <c r="U26" s="48"/>
      <c r="V26" s="48"/>
      <c r="W26" s="37">
        <v>380209</v>
      </c>
      <c r="X26" s="48"/>
      <c r="Y26" s="37" t="s">
        <v>220</v>
      </c>
      <c r="Z26" s="37"/>
      <c r="AA26" s="37">
        <v>210030</v>
      </c>
      <c r="AB26" s="48"/>
    </row>
    <row r="27" spans="3:28" ht="12.75" customHeight="1">
      <c r="C27" s="48">
        <v>562404</v>
      </c>
      <c r="D27" s="37"/>
      <c r="E27" s="48">
        <v>492727</v>
      </c>
      <c r="F27" s="48">
        <v>504558</v>
      </c>
      <c r="G27" s="48"/>
      <c r="H27" s="48">
        <v>571152</v>
      </c>
      <c r="I27" s="48"/>
      <c r="J27" s="48" t="s">
        <v>224</v>
      </c>
      <c r="K27" s="48"/>
      <c r="L27" s="48"/>
      <c r="M27" s="48"/>
      <c r="N27" s="48">
        <v>17</v>
      </c>
      <c r="O27" s="37">
        <v>504500</v>
      </c>
      <c r="P27" s="37">
        <v>524299</v>
      </c>
      <c r="Q27" s="48"/>
      <c r="R27" s="48"/>
      <c r="S27" s="48" t="s">
        <v>226</v>
      </c>
      <c r="T27" s="48"/>
      <c r="U27" s="48"/>
      <c r="V27" s="48"/>
      <c r="W27" s="37">
        <v>390321</v>
      </c>
      <c r="X27" s="48"/>
      <c r="Y27" s="37" t="s">
        <v>221</v>
      </c>
      <c r="Z27" s="37"/>
      <c r="AA27" s="37">
        <v>301010</v>
      </c>
      <c r="AB27" s="48"/>
    </row>
    <row r="28" spans="3:28" ht="12.75" customHeight="1">
      <c r="C28" s="48">
        <v>562405</v>
      </c>
      <c r="D28" s="37"/>
      <c r="E28" s="48">
        <v>492728</v>
      </c>
      <c r="F28" s="48">
        <v>504589</v>
      </c>
      <c r="G28" s="48"/>
      <c r="H28" s="48">
        <v>585340</v>
      </c>
      <c r="I28" s="48"/>
      <c r="J28" s="48" t="s">
        <v>225</v>
      </c>
      <c r="K28" s="48"/>
      <c r="L28" s="48"/>
      <c r="M28" s="48"/>
      <c r="N28" s="48" t="s">
        <v>222</v>
      </c>
      <c r="O28" s="37">
        <v>504530</v>
      </c>
      <c r="P28" s="37">
        <v>504500</v>
      </c>
      <c r="Q28" s="48"/>
      <c r="R28" s="48"/>
      <c r="S28" s="37" t="s">
        <v>192</v>
      </c>
      <c r="T28" s="37"/>
      <c r="U28" s="37"/>
      <c r="V28" s="37"/>
      <c r="W28" s="37">
        <v>520114</v>
      </c>
      <c r="X28" s="37"/>
      <c r="Y28" s="37"/>
      <c r="Z28" s="37"/>
      <c r="AA28" s="37">
        <v>301011</v>
      </c>
      <c r="AB28" s="37"/>
    </row>
    <row r="29" spans="3:28" ht="12.75" customHeight="1">
      <c r="C29" s="48">
        <v>562406</v>
      </c>
      <c r="D29" s="37"/>
      <c r="E29" s="48">
        <v>492729</v>
      </c>
      <c r="F29" s="48">
        <v>504564</v>
      </c>
      <c r="G29" s="48"/>
      <c r="H29" s="48">
        <v>585342</v>
      </c>
      <c r="I29" s="48"/>
      <c r="J29" s="48" t="s">
        <v>226</v>
      </c>
      <c r="K29" s="48"/>
      <c r="L29" s="48"/>
      <c r="M29" s="48"/>
      <c r="N29" s="48" t="s">
        <v>223</v>
      </c>
      <c r="O29" s="37">
        <v>504560</v>
      </c>
      <c r="P29" s="37">
        <v>504530</v>
      </c>
      <c r="Q29" s="48"/>
      <c r="R29" s="48"/>
      <c r="S29" s="37" t="s">
        <v>220</v>
      </c>
      <c r="T29" s="37"/>
      <c r="U29" s="37"/>
      <c r="V29" s="37"/>
      <c r="W29" s="37">
        <v>520109</v>
      </c>
      <c r="X29" s="37"/>
      <c r="Y29" s="37"/>
      <c r="Z29" s="37"/>
      <c r="AA29" s="37">
        <v>301012</v>
      </c>
      <c r="AB29" s="37"/>
    </row>
    <row r="30" spans="3:28" ht="12.75" customHeight="1">
      <c r="C30" s="48">
        <v>562407</v>
      </c>
      <c r="D30" s="37"/>
      <c r="E30" s="48">
        <v>492730</v>
      </c>
      <c r="F30" s="48">
        <v>504582</v>
      </c>
      <c r="G30" s="48"/>
      <c r="H30" s="48">
        <v>585361</v>
      </c>
      <c r="I30" s="48"/>
      <c r="J30" s="37" t="s">
        <v>192</v>
      </c>
      <c r="K30" s="37"/>
      <c r="L30" s="37"/>
      <c r="M30" s="37"/>
      <c r="N30" s="48" t="s">
        <v>224</v>
      </c>
      <c r="O30" s="48">
        <v>504513</v>
      </c>
      <c r="P30" s="48">
        <v>504560</v>
      </c>
      <c r="Q30" s="37"/>
      <c r="R30" s="37"/>
      <c r="S30" s="37" t="s">
        <v>221</v>
      </c>
      <c r="T30" s="37"/>
      <c r="U30" s="37"/>
      <c r="V30" s="37"/>
      <c r="W30" s="48">
        <v>520111</v>
      </c>
      <c r="X30" s="37"/>
      <c r="Y30" s="37"/>
      <c r="Z30" s="37"/>
      <c r="AA30" s="48">
        <v>390340</v>
      </c>
      <c r="AB30" s="37"/>
    </row>
    <row r="31" spans="3:28" ht="12.75" customHeight="1">
      <c r="C31" s="48">
        <v>562408</v>
      </c>
      <c r="D31" s="37"/>
      <c r="E31" s="48">
        <v>492738</v>
      </c>
      <c r="F31" s="48">
        <v>530161</v>
      </c>
      <c r="G31" s="48"/>
      <c r="H31" s="48">
        <v>585405</v>
      </c>
      <c r="I31" s="48"/>
      <c r="J31" s="37" t="s">
        <v>220</v>
      </c>
      <c r="K31" s="37"/>
      <c r="L31" s="37"/>
      <c r="M31" s="37"/>
      <c r="N31" s="48" t="s">
        <v>225</v>
      </c>
      <c r="O31" s="48">
        <v>504543</v>
      </c>
      <c r="P31" s="48">
        <v>504513</v>
      </c>
      <c r="Q31" s="37"/>
      <c r="R31" s="37"/>
      <c r="S31" s="37"/>
      <c r="T31" s="37"/>
      <c r="U31" s="37"/>
      <c r="V31" s="37"/>
      <c r="W31" s="48">
        <v>520113</v>
      </c>
      <c r="X31" s="37"/>
      <c r="Y31" s="37"/>
      <c r="Z31" s="37"/>
      <c r="AA31" s="48">
        <v>390341</v>
      </c>
      <c r="AB31" s="37"/>
    </row>
    <row r="32" spans="3:28" ht="12.75" customHeight="1">
      <c r="C32" s="48">
        <v>562409</v>
      </c>
      <c r="D32" s="37"/>
      <c r="E32" s="48">
        <v>504636</v>
      </c>
      <c r="F32" s="48">
        <v>599200</v>
      </c>
      <c r="G32" s="48"/>
      <c r="H32" s="48">
        <v>585433</v>
      </c>
      <c r="I32" s="48"/>
      <c r="J32" s="37" t="s">
        <v>221</v>
      </c>
      <c r="K32" s="37"/>
      <c r="L32" s="37"/>
      <c r="M32" s="37"/>
      <c r="N32" s="48" t="s">
        <v>226</v>
      </c>
      <c r="O32" s="48">
        <v>504600</v>
      </c>
      <c r="P32" s="48">
        <v>504543</v>
      </c>
      <c r="Q32" s="37"/>
      <c r="R32" s="37"/>
      <c r="S32" s="37"/>
      <c r="T32" s="37"/>
      <c r="U32" s="37"/>
      <c r="V32" s="37"/>
      <c r="W32" s="48">
        <v>524299</v>
      </c>
      <c r="X32" s="37"/>
      <c r="Y32" s="37"/>
      <c r="Z32" s="37"/>
      <c r="AA32" s="48">
        <v>301320</v>
      </c>
      <c r="AB32" s="37"/>
    </row>
    <row r="33" spans="3:28" ht="12.75" customHeight="1">
      <c r="C33" s="48">
        <v>562410</v>
      </c>
      <c r="D33" s="37"/>
      <c r="E33" s="48">
        <v>505051</v>
      </c>
      <c r="F33" s="48">
        <v>571206</v>
      </c>
      <c r="G33" s="48"/>
      <c r="H33" s="48">
        <v>615582</v>
      </c>
      <c r="I33" s="48"/>
      <c r="J33" s="48"/>
      <c r="K33" s="48"/>
      <c r="L33" s="48"/>
      <c r="M33" s="48"/>
      <c r="N33" s="37" t="s">
        <v>192</v>
      </c>
      <c r="O33" s="48">
        <v>530112</v>
      </c>
      <c r="P33" s="48">
        <v>504600</v>
      </c>
      <c r="Q33" s="37"/>
      <c r="R33" s="37"/>
      <c r="S33" s="37"/>
      <c r="T33" s="37"/>
      <c r="U33" s="37"/>
      <c r="V33" s="37"/>
      <c r="W33" s="48">
        <v>504500</v>
      </c>
      <c r="X33" s="37"/>
      <c r="Y33" s="37"/>
      <c r="Z33" s="37"/>
      <c r="AA33" s="48">
        <v>302515</v>
      </c>
      <c r="AB33" s="37"/>
    </row>
    <row r="34" spans="3:28" ht="12.75" customHeight="1">
      <c r="C34" s="48">
        <v>562411</v>
      </c>
      <c r="D34" s="37"/>
      <c r="E34" s="48">
        <v>505052</v>
      </c>
      <c r="F34" s="48">
        <v>561131</v>
      </c>
      <c r="G34" s="48"/>
      <c r="H34" s="48">
        <v>616250</v>
      </c>
      <c r="I34" s="48"/>
      <c r="J34" s="48"/>
      <c r="K34" s="48"/>
      <c r="L34" s="48"/>
      <c r="M34" s="48"/>
      <c r="N34" s="37" t="s">
        <v>220</v>
      </c>
      <c r="O34" s="48">
        <v>561115</v>
      </c>
      <c r="P34" s="48">
        <v>530112</v>
      </c>
      <c r="Q34" s="37"/>
      <c r="R34" s="37"/>
      <c r="S34" s="37"/>
      <c r="T34" s="37"/>
      <c r="U34" s="37"/>
      <c r="V34" s="37"/>
      <c r="W34" s="48">
        <v>504530</v>
      </c>
      <c r="X34" s="37"/>
      <c r="Y34" s="37"/>
      <c r="Z34" s="37"/>
      <c r="AA34" s="48">
        <v>302518</v>
      </c>
      <c r="AB34" s="37"/>
    </row>
    <row r="35" spans="3:28" ht="12.75" customHeight="1">
      <c r="C35" s="48">
        <v>562412</v>
      </c>
      <c r="D35" s="37"/>
      <c r="E35" s="48">
        <v>505053</v>
      </c>
      <c r="F35" s="48">
        <v>585405</v>
      </c>
      <c r="G35" s="48"/>
      <c r="H35" s="48">
        <v>616615</v>
      </c>
      <c r="I35" s="48"/>
      <c r="J35" s="48"/>
      <c r="K35" s="48"/>
      <c r="L35" s="48"/>
      <c r="M35" s="48"/>
      <c r="N35" s="37" t="s">
        <v>221</v>
      </c>
      <c r="O35" s="48">
        <v>562004</v>
      </c>
      <c r="P35" s="48">
        <v>561115</v>
      </c>
      <c r="Q35" s="37"/>
      <c r="R35" s="37"/>
      <c r="S35" s="37"/>
      <c r="T35" s="37"/>
      <c r="U35" s="37"/>
      <c r="V35" s="37"/>
      <c r="W35" s="48">
        <v>504560</v>
      </c>
      <c r="X35" s="37"/>
      <c r="Y35" s="37"/>
      <c r="Z35" s="37"/>
      <c r="AA35" s="48">
        <v>302521</v>
      </c>
      <c r="AB35" s="37"/>
    </row>
    <row r="36" spans="3:28" ht="12.75" customHeight="1">
      <c r="C36" s="48">
        <v>585366</v>
      </c>
      <c r="D36" s="37"/>
      <c r="E36" s="48">
        <v>505054</v>
      </c>
      <c r="F36" s="48">
        <v>585424</v>
      </c>
      <c r="G36" s="48"/>
      <c r="H36" s="48">
        <v>634417</v>
      </c>
      <c r="I36" s="48"/>
      <c r="J36" s="48"/>
      <c r="K36" s="48"/>
      <c r="L36" s="48"/>
      <c r="M36" s="48"/>
      <c r="N36" s="48"/>
      <c r="O36" s="48">
        <v>571015</v>
      </c>
      <c r="P36" s="48">
        <v>571015</v>
      </c>
      <c r="Q36" s="48"/>
      <c r="R36" s="48"/>
      <c r="S36" s="48"/>
      <c r="T36" s="48"/>
      <c r="U36" s="48"/>
      <c r="V36" s="48"/>
      <c r="W36" s="48">
        <v>504513</v>
      </c>
      <c r="X36" s="48"/>
      <c r="Y36" s="48"/>
      <c r="Z36" s="48"/>
      <c r="AA36" s="48">
        <v>302524</v>
      </c>
      <c r="AB36" s="48"/>
    </row>
    <row r="37" spans="3:28" ht="12.75" customHeight="1">
      <c r="C37" s="48">
        <v>585367</v>
      </c>
      <c r="D37" s="37"/>
      <c r="E37" s="48">
        <v>505055</v>
      </c>
      <c r="F37" s="48">
        <v>585433</v>
      </c>
      <c r="G37" s="48"/>
      <c r="H37" s="48">
        <v>634430</v>
      </c>
      <c r="I37" s="48"/>
      <c r="J37" s="48"/>
      <c r="K37" s="48"/>
      <c r="L37" s="48"/>
      <c r="M37" s="48"/>
      <c r="N37" s="48"/>
      <c r="O37" s="48">
        <v>571020</v>
      </c>
      <c r="P37" s="48">
        <v>571020</v>
      </c>
      <c r="Q37" s="48"/>
      <c r="R37" s="48"/>
      <c r="S37" s="48"/>
      <c r="T37" s="48"/>
      <c r="U37" s="48"/>
      <c r="V37" s="48"/>
      <c r="W37" s="48">
        <v>504543</v>
      </c>
      <c r="X37" s="48"/>
      <c r="Y37" s="48"/>
      <c r="Z37" s="48"/>
      <c r="AA37" s="48">
        <v>302527</v>
      </c>
      <c r="AB37" s="48"/>
    </row>
    <row r="38" spans="3:28" ht="12.75" customHeight="1">
      <c r="C38" s="48">
        <v>585368</v>
      </c>
      <c r="D38" s="37"/>
      <c r="E38" s="48">
        <v>505056</v>
      </c>
      <c r="F38" s="48">
        <v>585435</v>
      </c>
      <c r="G38" s="48"/>
      <c r="H38" s="48">
        <v>634434</v>
      </c>
      <c r="I38" s="48"/>
      <c r="J38" s="48"/>
      <c r="K38" s="48"/>
      <c r="L38" s="48"/>
      <c r="M38" s="48"/>
      <c r="N38" s="48"/>
      <c r="O38" s="48">
        <v>812856</v>
      </c>
      <c r="P38" s="48">
        <v>812856</v>
      </c>
      <c r="Q38" s="48"/>
      <c r="R38" s="48"/>
      <c r="S38" s="48"/>
      <c r="T38" s="48"/>
      <c r="U38" s="48"/>
      <c r="V38" s="48"/>
      <c r="W38" s="48">
        <v>504600</v>
      </c>
      <c r="X38" s="48"/>
      <c r="Y38" s="48"/>
      <c r="Z38" s="48"/>
      <c r="AA38" s="48">
        <v>302530</v>
      </c>
      <c r="AB38" s="48"/>
    </row>
    <row r="39" spans="3:28" ht="12.75" customHeight="1">
      <c r="C39" s="48">
        <v>585370</v>
      </c>
      <c r="D39" s="37"/>
      <c r="E39" s="48">
        <v>505057</v>
      </c>
      <c r="F39" s="48">
        <v>585713</v>
      </c>
      <c r="G39" s="48"/>
      <c r="H39" s="48">
        <v>634436</v>
      </c>
      <c r="I39" s="48"/>
      <c r="J39" s="48"/>
      <c r="K39" s="48"/>
      <c r="L39" s="48"/>
      <c r="M39" s="48"/>
      <c r="N39" s="48"/>
      <c r="O39" s="48">
        <v>812866</v>
      </c>
      <c r="P39" s="48">
        <v>812866</v>
      </c>
      <c r="Q39" s="48"/>
      <c r="R39" s="48"/>
      <c r="S39" s="48"/>
      <c r="T39" s="48"/>
      <c r="U39" s="48"/>
      <c r="V39" s="48"/>
      <c r="W39" s="48">
        <v>530112</v>
      </c>
      <c r="X39" s="48"/>
      <c r="Y39" s="48"/>
      <c r="Z39" s="48"/>
      <c r="AA39" s="48">
        <v>340014</v>
      </c>
      <c r="AB39" s="48"/>
    </row>
    <row r="40" spans="3:28" ht="12.75" customHeight="1">
      <c r="C40" s="48">
        <v>585371</v>
      </c>
      <c r="D40" s="37"/>
      <c r="E40" s="48">
        <v>505058</v>
      </c>
      <c r="F40" s="48">
        <v>585812</v>
      </c>
      <c r="G40" s="48"/>
      <c r="H40" s="48">
        <v>634441</v>
      </c>
      <c r="I40" s="48"/>
      <c r="J40" s="48"/>
      <c r="K40" s="48"/>
      <c r="L40" s="48"/>
      <c r="M40" s="48"/>
      <c r="N40" s="48"/>
      <c r="O40" s="48">
        <v>812870</v>
      </c>
      <c r="P40" s="48">
        <v>812870</v>
      </c>
      <c r="Q40" s="48"/>
      <c r="R40" s="48"/>
      <c r="S40" s="48"/>
      <c r="T40" s="48"/>
      <c r="U40" s="48"/>
      <c r="V40" s="48"/>
      <c r="W40" s="48">
        <v>561115</v>
      </c>
      <c r="X40" s="48"/>
      <c r="Y40" s="48"/>
      <c r="Z40" s="48"/>
      <c r="AA40" s="48">
        <v>340015</v>
      </c>
      <c r="AB40" s="48"/>
    </row>
    <row r="41" spans="3:28" ht="12.75" customHeight="1">
      <c r="C41" s="48">
        <v>585372</v>
      </c>
      <c r="D41" s="37"/>
      <c r="E41" s="48">
        <v>505059</v>
      </c>
      <c r="F41" s="48">
        <v>585816</v>
      </c>
      <c r="G41" s="48"/>
      <c r="H41" s="48">
        <v>704369</v>
      </c>
      <c r="I41" s="48"/>
      <c r="J41" s="48"/>
      <c r="K41" s="48"/>
      <c r="L41" s="48"/>
      <c r="M41" s="48"/>
      <c r="N41" s="48"/>
      <c r="O41" s="48">
        <v>812857</v>
      </c>
      <c r="P41" s="48">
        <v>812857</v>
      </c>
      <c r="Q41" s="48"/>
      <c r="R41" s="48"/>
      <c r="S41" s="48"/>
      <c r="T41" s="48"/>
      <c r="U41" s="48"/>
      <c r="V41" s="48"/>
      <c r="W41" s="48">
        <v>562004</v>
      </c>
      <c r="X41" s="48"/>
      <c r="Y41" s="48"/>
      <c r="Z41" s="48"/>
      <c r="AA41" s="48">
        <v>328116</v>
      </c>
      <c r="AB41" s="48"/>
    </row>
    <row r="42" spans="3:28" ht="12.75" customHeight="1">
      <c r="C42" s="48">
        <v>585373</v>
      </c>
      <c r="D42" s="37"/>
      <c r="E42" s="48">
        <v>505060</v>
      </c>
      <c r="F42" s="48">
        <v>585824</v>
      </c>
      <c r="G42" s="48"/>
      <c r="H42" s="48">
        <v>708220</v>
      </c>
      <c r="I42" s="48"/>
      <c r="J42" s="48"/>
      <c r="K42" s="48"/>
      <c r="L42" s="48"/>
      <c r="M42" s="48"/>
      <c r="N42" s="48"/>
      <c r="O42" s="48">
        <v>812858</v>
      </c>
      <c r="P42" s="48">
        <v>812858</v>
      </c>
      <c r="Q42" s="48"/>
      <c r="R42" s="48"/>
      <c r="S42" s="48"/>
      <c r="T42" s="48"/>
      <c r="U42" s="48"/>
      <c r="V42" s="48"/>
      <c r="W42" s="48">
        <v>571015</v>
      </c>
      <c r="X42" s="48"/>
      <c r="Y42" s="48"/>
      <c r="Z42" s="48"/>
      <c r="AA42" s="48">
        <v>328115</v>
      </c>
      <c r="AB42" s="48"/>
    </row>
    <row r="43" spans="3:28" ht="12.75" customHeight="1">
      <c r="C43" s="48">
        <v>585374</v>
      </c>
      <c r="D43" s="37"/>
      <c r="E43" s="48">
        <v>505061</v>
      </c>
      <c r="F43" s="48">
        <v>585714</v>
      </c>
      <c r="G43" s="48"/>
      <c r="H43" s="48">
        <v>709110</v>
      </c>
      <c r="I43" s="48"/>
      <c r="J43" s="48"/>
      <c r="K43" s="48"/>
      <c r="L43" s="48"/>
      <c r="M43" s="48"/>
      <c r="N43" s="48"/>
      <c r="O43" s="48">
        <v>812859</v>
      </c>
      <c r="P43" s="48">
        <v>812859</v>
      </c>
      <c r="Q43" s="48"/>
      <c r="R43" s="48"/>
      <c r="S43" s="48"/>
      <c r="T43" s="48"/>
      <c r="U43" s="48"/>
      <c r="V43" s="48"/>
      <c r="W43" s="48">
        <v>571020</v>
      </c>
      <c r="X43" s="48"/>
      <c r="Y43" s="48"/>
      <c r="Z43" s="48"/>
      <c r="AA43" s="48">
        <v>301318</v>
      </c>
      <c r="AB43" s="48"/>
    </row>
    <row r="44" spans="3:28" ht="12.75" customHeight="1">
      <c r="C44" s="48">
        <v>585610</v>
      </c>
      <c r="D44" s="37"/>
      <c r="E44" s="48">
        <v>505062</v>
      </c>
      <c r="F44" s="48">
        <v>585715</v>
      </c>
      <c r="G44" s="48"/>
      <c r="H44" s="48">
        <v>810547</v>
      </c>
      <c r="I44" s="48"/>
      <c r="J44" s="48"/>
      <c r="K44" s="48"/>
      <c r="L44" s="48"/>
      <c r="M44" s="48"/>
      <c r="N44" s="48"/>
      <c r="O44" s="48">
        <v>812867</v>
      </c>
      <c r="P44" s="48">
        <v>812867</v>
      </c>
      <c r="Q44" s="48"/>
      <c r="R44" s="48"/>
      <c r="S44" s="48"/>
      <c r="T44" s="48"/>
      <c r="U44" s="48"/>
      <c r="V44" s="48"/>
      <c r="W44" s="48">
        <v>812856</v>
      </c>
      <c r="X44" s="48"/>
      <c r="Y44" s="48"/>
      <c r="Z44" s="48"/>
      <c r="AA44" s="48">
        <v>324149</v>
      </c>
      <c r="AB44" s="48"/>
    </row>
    <row r="45" spans="3:28" ht="12.75" customHeight="1">
      <c r="C45" s="48">
        <v>585611</v>
      </c>
      <c r="D45" s="37"/>
      <c r="E45" s="48">
        <v>505063</v>
      </c>
      <c r="F45" s="48">
        <v>585716</v>
      </c>
      <c r="G45" s="48"/>
      <c r="H45" s="48">
        <v>810548</v>
      </c>
      <c r="I45" s="48"/>
      <c r="J45" s="48"/>
      <c r="K45" s="48"/>
      <c r="L45" s="48"/>
      <c r="M45" s="48"/>
      <c r="N45" s="48"/>
      <c r="O45" s="48">
        <v>585405</v>
      </c>
      <c r="P45" s="48">
        <v>585405</v>
      </c>
      <c r="Q45" s="48"/>
      <c r="R45" s="48"/>
      <c r="S45" s="48"/>
      <c r="T45" s="48"/>
      <c r="U45" s="48"/>
      <c r="V45" s="48"/>
      <c r="W45" s="48">
        <v>812866</v>
      </c>
      <c r="X45" s="48"/>
      <c r="Y45" s="48"/>
      <c r="Z45" s="48"/>
      <c r="AA45" s="48">
        <v>324150</v>
      </c>
      <c r="AB45" s="48"/>
    </row>
    <row r="46" spans="3:28" ht="12.75" customHeight="1">
      <c r="C46" s="48">
        <v>585624</v>
      </c>
      <c r="D46" s="37"/>
      <c r="E46" s="48">
        <v>505064</v>
      </c>
      <c r="F46" s="48">
        <v>585717</v>
      </c>
      <c r="G46" s="48"/>
      <c r="H46" s="48">
        <v>810549</v>
      </c>
      <c r="I46" s="48"/>
      <c r="J46" s="48"/>
      <c r="K46" s="48"/>
      <c r="L46" s="48"/>
      <c r="M46" s="48"/>
      <c r="N46" s="48"/>
      <c r="O46" s="48">
        <v>585407</v>
      </c>
      <c r="P46" s="48">
        <v>585407</v>
      </c>
      <c r="Q46" s="48"/>
      <c r="R46" s="48"/>
      <c r="S46" s="48"/>
      <c r="T46" s="48"/>
      <c r="U46" s="48"/>
      <c r="V46" s="48"/>
      <c r="W46" s="48">
        <v>812870</v>
      </c>
      <c r="X46" s="48"/>
      <c r="Y46" s="48"/>
      <c r="Z46" s="48"/>
      <c r="AA46" s="48">
        <v>320415</v>
      </c>
      <c r="AB46" s="48"/>
    </row>
    <row r="47" spans="3:28" ht="12.75" customHeight="1">
      <c r="C47" s="48">
        <v>585628</v>
      </c>
      <c r="D47" s="37"/>
      <c r="E47" s="48">
        <v>505065</v>
      </c>
      <c r="F47" s="48">
        <v>585718</v>
      </c>
      <c r="G47" s="48"/>
      <c r="H47" s="48">
        <v>812107</v>
      </c>
      <c r="I47" s="48"/>
      <c r="J47" s="48"/>
      <c r="K47" s="48"/>
      <c r="L47" s="48"/>
      <c r="M47" s="48"/>
      <c r="N47" s="48"/>
      <c r="O47" s="48">
        <v>585424</v>
      </c>
      <c r="P47" s="48">
        <v>585412</v>
      </c>
      <c r="Q47" s="48"/>
      <c r="R47" s="48"/>
      <c r="S47" s="48"/>
      <c r="T47" s="48"/>
      <c r="U47" s="48"/>
      <c r="V47" s="48"/>
      <c r="W47" s="48">
        <v>812857</v>
      </c>
      <c r="X47" s="48"/>
      <c r="Y47" s="48"/>
      <c r="Z47" s="48"/>
      <c r="AA47" s="48">
        <v>320418</v>
      </c>
      <c r="AB47" s="48"/>
    </row>
    <row r="48" spans="3:28" ht="12.75" customHeight="1">
      <c r="C48" s="48">
        <v>648690</v>
      </c>
      <c r="D48" s="37"/>
      <c r="E48" s="48">
        <v>505066</v>
      </c>
      <c r="F48" s="48">
        <v>585439</v>
      </c>
      <c r="G48" s="48"/>
      <c r="H48" s="48">
        <v>812861</v>
      </c>
      <c r="I48" s="48"/>
      <c r="J48" s="48"/>
      <c r="K48" s="48"/>
      <c r="L48" s="48"/>
      <c r="M48" s="48"/>
      <c r="N48" s="48"/>
      <c r="O48" s="48">
        <v>585627</v>
      </c>
      <c r="P48" s="48">
        <v>585424</v>
      </c>
      <c r="Q48" s="48"/>
      <c r="R48" s="48"/>
      <c r="S48" s="48"/>
      <c r="T48" s="48"/>
      <c r="U48" s="48"/>
      <c r="V48" s="48"/>
      <c r="W48" s="48">
        <v>812858</v>
      </c>
      <c r="X48" s="48"/>
      <c r="Y48" s="48"/>
      <c r="Z48" s="48"/>
      <c r="AA48" s="48">
        <v>320421</v>
      </c>
      <c r="AB48" s="48"/>
    </row>
    <row r="49" spans="3:28" ht="12.75" customHeight="1">
      <c r="C49" s="48">
        <v>655126</v>
      </c>
      <c r="D49" s="37"/>
      <c r="E49" s="48">
        <v>505067</v>
      </c>
      <c r="F49" s="48">
        <v>585639</v>
      </c>
      <c r="G49" s="48"/>
      <c r="H49" s="48">
        <v>812865</v>
      </c>
      <c r="I49" s="48"/>
      <c r="J49" s="48"/>
      <c r="K49" s="48"/>
      <c r="L49" s="48"/>
      <c r="M49" s="48"/>
      <c r="N49" s="48"/>
      <c r="O49" s="48">
        <v>585350</v>
      </c>
      <c r="P49" s="48">
        <v>585627</v>
      </c>
      <c r="Q49" s="48"/>
      <c r="R49" s="48"/>
      <c r="S49" s="48"/>
      <c r="T49" s="48"/>
      <c r="U49" s="48"/>
      <c r="V49" s="48"/>
      <c r="W49" s="48">
        <v>812859</v>
      </c>
      <c r="X49" s="48"/>
      <c r="Y49" s="48"/>
      <c r="Z49" s="48"/>
      <c r="AA49" s="48">
        <v>320424</v>
      </c>
      <c r="AB49" s="48"/>
    </row>
    <row r="50" spans="3:28" ht="12.75" customHeight="1">
      <c r="C50" s="48">
        <v>655127</v>
      </c>
      <c r="D50" s="37"/>
      <c r="E50" s="48">
        <v>505068</v>
      </c>
      <c r="F50" s="48">
        <v>585340</v>
      </c>
      <c r="G50" s="48"/>
      <c r="H50" s="48">
        <v>833037</v>
      </c>
      <c r="I50" s="48"/>
      <c r="J50" s="48"/>
      <c r="K50" s="48"/>
      <c r="L50" s="48"/>
      <c r="M50" s="48"/>
      <c r="N50" s="48"/>
      <c r="O50" s="48">
        <v>865002</v>
      </c>
      <c r="P50" s="48">
        <v>865002</v>
      </c>
      <c r="Q50" s="48"/>
      <c r="R50" s="48"/>
      <c r="S50" s="48"/>
      <c r="T50" s="48"/>
      <c r="U50" s="48"/>
      <c r="V50" s="48"/>
      <c r="W50" s="48">
        <v>812867</v>
      </c>
      <c r="X50" s="48"/>
      <c r="Y50" s="48"/>
      <c r="Z50" s="48"/>
      <c r="AA50" s="48">
        <v>320427</v>
      </c>
      <c r="AB50" s="48"/>
    </row>
    <row r="51" spans="3:28" ht="12.75" customHeight="1">
      <c r="C51" s="48">
        <v>655128</v>
      </c>
      <c r="D51" s="37"/>
      <c r="E51" s="48">
        <v>505069</v>
      </c>
      <c r="F51" s="48">
        <v>585342</v>
      </c>
      <c r="G51" s="48"/>
      <c r="H51" s="48">
        <v>862102</v>
      </c>
      <c r="I51" s="48"/>
      <c r="J51" s="48"/>
      <c r="K51" s="48"/>
      <c r="L51" s="48"/>
      <c r="M51" s="48"/>
      <c r="N51" s="48"/>
      <c r="O51" s="48">
        <v>504633</v>
      </c>
      <c r="P51" s="48">
        <v>634198</v>
      </c>
      <c r="Q51" s="48"/>
      <c r="R51" s="48"/>
      <c r="S51" s="48"/>
      <c r="T51" s="48"/>
      <c r="U51" s="48"/>
      <c r="V51" s="48"/>
      <c r="W51" s="48">
        <v>585405</v>
      </c>
      <c r="X51" s="48"/>
      <c r="Y51" s="48"/>
      <c r="Z51" s="48"/>
      <c r="AA51" s="48">
        <v>320430</v>
      </c>
      <c r="AB51" s="48"/>
    </row>
    <row r="52" spans="3:28" ht="12.75" customHeight="1">
      <c r="C52" s="48">
        <v>655129</v>
      </c>
      <c r="D52" s="37"/>
      <c r="E52" s="48">
        <v>505070</v>
      </c>
      <c r="F52" s="48">
        <v>585671</v>
      </c>
      <c r="G52" s="48"/>
      <c r="H52" s="48">
        <v>17</v>
      </c>
      <c r="I52" s="48"/>
      <c r="J52" s="48"/>
      <c r="K52" s="48"/>
      <c r="L52" s="48"/>
      <c r="M52" s="48"/>
      <c r="N52" s="48"/>
      <c r="O52" s="37">
        <v>634198</v>
      </c>
      <c r="P52" s="37">
        <v>634199</v>
      </c>
      <c r="Q52" s="48"/>
      <c r="R52" s="48"/>
      <c r="S52" s="48"/>
      <c r="T52" s="48"/>
      <c r="U52" s="48"/>
      <c r="V52" s="48"/>
      <c r="W52" s="37">
        <v>585407</v>
      </c>
      <c r="X52" s="48"/>
      <c r="Y52" s="48"/>
      <c r="Z52" s="48"/>
      <c r="AA52" s="37">
        <v>371011</v>
      </c>
      <c r="AB52" s="48"/>
    </row>
    <row r="53" spans="3:28" ht="12.75" customHeight="1">
      <c r="C53" s="48">
        <v>655130</v>
      </c>
      <c r="D53" s="37"/>
      <c r="E53" s="48">
        <v>505071</v>
      </c>
      <c r="F53" s="48">
        <v>585712</v>
      </c>
      <c r="G53" s="48"/>
      <c r="H53" s="48" t="s">
        <v>222</v>
      </c>
      <c r="I53" s="48"/>
      <c r="J53" s="48"/>
      <c r="K53" s="48"/>
      <c r="L53" s="48"/>
      <c r="M53" s="48"/>
      <c r="N53" s="48"/>
      <c r="O53" s="37">
        <v>634199</v>
      </c>
      <c r="P53" s="37">
        <v>655105</v>
      </c>
      <c r="Q53" s="48"/>
      <c r="R53" s="48"/>
      <c r="S53" s="48"/>
      <c r="T53" s="48"/>
      <c r="U53" s="48"/>
      <c r="V53" s="48"/>
      <c r="W53" s="37">
        <v>585412</v>
      </c>
      <c r="X53" s="48"/>
      <c r="Y53" s="48"/>
      <c r="Z53" s="48"/>
      <c r="AA53" s="37">
        <v>371013</v>
      </c>
      <c r="AB53" s="48"/>
    </row>
    <row r="54" spans="3:28" ht="12.75" customHeight="1">
      <c r="C54" s="48">
        <v>655131</v>
      </c>
      <c r="D54" s="37"/>
      <c r="E54" s="48">
        <v>505072</v>
      </c>
      <c r="F54" s="48">
        <v>504621</v>
      </c>
      <c r="G54" s="48"/>
      <c r="H54" s="48" t="s">
        <v>223</v>
      </c>
      <c r="I54" s="48"/>
      <c r="J54" s="48"/>
      <c r="K54" s="48"/>
      <c r="L54" s="48"/>
      <c r="M54" s="48"/>
      <c r="N54" s="48"/>
      <c r="O54" s="37">
        <v>655105</v>
      </c>
      <c r="P54" s="37">
        <v>655125</v>
      </c>
      <c r="Q54" s="48"/>
      <c r="R54" s="48"/>
      <c r="S54" s="48"/>
      <c r="T54" s="48"/>
      <c r="U54" s="48"/>
      <c r="V54" s="48"/>
      <c r="W54" s="37">
        <v>585424</v>
      </c>
      <c r="X54" s="48"/>
      <c r="Y54" s="48"/>
      <c r="Z54" s="48"/>
      <c r="AA54" s="37">
        <v>324151</v>
      </c>
      <c r="AB54" s="48"/>
    </row>
    <row r="55" spans="3:28" ht="12.75" customHeight="1">
      <c r="C55" s="48">
        <v>655132</v>
      </c>
      <c r="D55" s="37"/>
      <c r="E55" s="48">
        <v>505073</v>
      </c>
      <c r="F55" s="48">
        <v>585673</v>
      </c>
      <c r="G55" s="48"/>
      <c r="H55" s="48" t="s">
        <v>224</v>
      </c>
      <c r="I55" s="48"/>
      <c r="J55" s="48"/>
      <c r="K55" s="48"/>
      <c r="L55" s="48"/>
      <c r="M55" s="48"/>
      <c r="N55" s="48"/>
      <c r="O55" s="48">
        <v>655125</v>
      </c>
      <c r="P55" s="48">
        <v>704325</v>
      </c>
      <c r="Q55" s="48"/>
      <c r="R55" s="48"/>
      <c r="S55" s="48"/>
      <c r="T55" s="48"/>
      <c r="U55" s="48"/>
      <c r="V55" s="48"/>
      <c r="W55" s="48">
        <v>585627</v>
      </c>
      <c r="X55" s="48"/>
      <c r="Y55" s="48"/>
      <c r="Z55" s="48"/>
      <c r="AA55" s="48">
        <v>324152</v>
      </c>
      <c r="AB55" s="48"/>
    </row>
    <row r="56" spans="3:28" ht="12.75" customHeight="1">
      <c r="C56" s="48">
        <v>655133</v>
      </c>
      <c r="D56" s="37"/>
      <c r="E56" s="48">
        <v>505074</v>
      </c>
      <c r="F56" s="48">
        <v>634417</v>
      </c>
      <c r="G56" s="48"/>
      <c r="H56" s="48" t="s">
        <v>225</v>
      </c>
      <c r="I56" s="48"/>
      <c r="J56" s="48"/>
      <c r="K56" s="48"/>
      <c r="L56" s="48"/>
      <c r="M56" s="48"/>
      <c r="N56" s="48"/>
      <c r="O56" s="48">
        <v>704325</v>
      </c>
      <c r="P56" s="48">
        <v>801104</v>
      </c>
      <c r="Q56" s="48"/>
      <c r="R56" s="48"/>
      <c r="S56" s="48"/>
      <c r="T56" s="48"/>
      <c r="U56" s="48"/>
      <c r="V56" s="48"/>
      <c r="W56" s="48">
        <v>585601</v>
      </c>
      <c r="X56" s="48"/>
      <c r="Y56" s="48"/>
      <c r="Z56" s="48"/>
      <c r="AA56" s="48">
        <v>390687</v>
      </c>
      <c r="AB56" s="48"/>
    </row>
    <row r="57" spans="3:28" ht="12.75" customHeight="1">
      <c r="C57" s="48">
        <v>655134</v>
      </c>
      <c r="D57" s="37"/>
      <c r="E57" s="48">
        <v>505075</v>
      </c>
      <c r="F57" s="48">
        <v>655116</v>
      </c>
      <c r="G57" s="48"/>
      <c r="H57" s="48" t="s">
        <v>226</v>
      </c>
      <c r="I57" s="48"/>
      <c r="J57" s="48"/>
      <c r="K57" s="48"/>
      <c r="L57" s="48"/>
      <c r="M57" s="48"/>
      <c r="N57" s="48"/>
      <c r="O57" s="48">
        <v>801605</v>
      </c>
      <c r="P57" s="48">
        <v>17</v>
      </c>
      <c r="Q57" s="48"/>
      <c r="R57" s="48"/>
      <c r="S57" s="48"/>
      <c r="T57" s="48"/>
      <c r="U57" s="48"/>
      <c r="V57" s="48"/>
      <c r="W57" s="37">
        <v>585603</v>
      </c>
      <c r="X57" s="48"/>
      <c r="Y57" s="48"/>
      <c r="Z57" s="48"/>
      <c r="AA57" s="37">
        <v>380205</v>
      </c>
      <c r="AB57" s="48"/>
    </row>
    <row r="58" spans="3:28" ht="12.75" customHeight="1">
      <c r="C58" s="48">
        <v>655135</v>
      </c>
      <c r="D58" s="37"/>
      <c r="E58" s="48">
        <v>505076</v>
      </c>
      <c r="F58" s="48">
        <v>655107</v>
      </c>
      <c r="G58" s="48"/>
      <c r="H58" s="37" t="s">
        <v>192</v>
      </c>
      <c r="I58" s="37"/>
      <c r="J58" s="37"/>
      <c r="K58" s="37"/>
      <c r="L58" s="37"/>
      <c r="M58" s="37"/>
      <c r="N58" s="37"/>
      <c r="O58" s="48">
        <v>801130</v>
      </c>
      <c r="P58" s="48" t="s">
        <v>222</v>
      </c>
      <c r="Q58" s="37"/>
      <c r="R58" s="37"/>
      <c r="S58" s="37"/>
      <c r="T58" s="37"/>
      <c r="U58" s="37"/>
      <c r="V58" s="37"/>
      <c r="W58" s="37">
        <v>585607</v>
      </c>
      <c r="X58" s="37"/>
      <c r="Y58" s="37"/>
      <c r="Z58" s="37"/>
      <c r="AA58" s="37">
        <v>380201</v>
      </c>
      <c r="AB58" s="37"/>
    </row>
    <row r="59" spans="3:28" ht="12.75" customHeight="1">
      <c r="C59" s="48">
        <v>17</v>
      </c>
      <c r="D59" s="37"/>
      <c r="E59" s="48">
        <v>505077</v>
      </c>
      <c r="F59" s="48">
        <v>504496</v>
      </c>
      <c r="G59" s="48"/>
      <c r="H59" s="37" t="s">
        <v>220</v>
      </c>
      <c r="I59" s="37"/>
      <c r="J59" s="37"/>
      <c r="K59" s="37"/>
      <c r="L59" s="37"/>
      <c r="M59" s="37"/>
      <c r="N59" s="37"/>
      <c r="O59" s="48">
        <v>801135</v>
      </c>
      <c r="P59" s="48" t="s">
        <v>223</v>
      </c>
      <c r="Q59" s="37"/>
      <c r="R59" s="37"/>
      <c r="S59" s="37"/>
      <c r="T59" s="37"/>
      <c r="U59" s="37"/>
      <c r="V59" s="37"/>
      <c r="W59" s="37">
        <v>585636</v>
      </c>
      <c r="X59" s="37"/>
      <c r="Y59" s="37"/>
      <c r="Z59" s="37"/>
      <c r="AA59" s="37">
        <v>380218</v>
      </c>
      <c r="AB59" s="37"/>
    </row>
    <row r="60" spans="3:28" ht="12.75" customHeight="1">
      <c r="C60" s="48" t="s">
        <v>222</v>
      </c>
      <c r="D60" s="37"/>
      <c r="E60" s="48">
        <v>524525</v>
      </c>
      <c r="F60" s="48">
        <v>504497</v>
      </c>
      <c r="G60" s="48"/>
      <c r="H60" s="37" t="s">
        <v>221</v>
      </c>
      <c r="I60" s="37"/>
      <c r="J60" s="37"/>
      <c r="K60" s="37"/>
      <c r="L60" s="37"/>
      <c r="M60" s="37"/>
      <c r="N60" s="37"/>
      <c r="O60" s="48">
        <v>801104</v>
      </c>
      <c r="P60" s="48" t="s">
        <v>224</v>
      </c>
      <c r="Q60" s="37"/>
      <c r="R60" s="37"/>
      <c r="S60" s="37"/>
      <c r="T60" s="37"/>
      <c r="U60" s="37"/>
      <c r="V60" s="37"/>
      <c r="W60" s="48">
        <v>585637</v>
      </c>
      <c r="X60" s="37"/>
      <c r="Y60" s="37"/>
      <c r="Z60" s="37"/>
      <c r="AA60" s="48">
        <v>301322</v>
      </c>
      <c r="AB60" s="37"/>
    </row>
    <row r="61" spans="3:28" ht="12.75" customHeight="1">
      <c r="C61" s="48" t="s">
        <v>223</v>
      </c>
      <c r="D61" s="37"/>
      <c r="E61" s="48">
        <v>524529</v>
      </c>
      <c r="F61" s="48">
        <v>662182</v>
      </c>
      <c r="G61" s="48"/>
      <c r="H61" s="48"/>
      <c r="I61" s="48"/>
      <c r="J61" s="48"/>
      <c r="K61" s="48"/>
      <c r="L61" s="48"/>
      <c r="M61" s="48"/>
      <c r="N61" s="48"/>
      <c r="O61" s="48">
        <v>17</v>
      </c>
      <c r="P61" s="48" t="s">
        <v>225</v>
      </c>
      <c r="Q61" s="48"/>
      <c r="R61" s="48"/>
      <c r="S61" s="48"/>
      <c r="T61" s="48"/>
      <c r="U61" s="48"/>
      <c r="V61" s="48"/>
      <c r="W61" s="37">
        <v>865002</v>
      </c>
      <c r="X61" s="48"/>
      <c r="Y61" s="48"/>
      <c r="Z61" s="48"/>
      <c r="AA61" s="37">
        <v>340011</v>
      </c>
      <c r="AB61" s="48"/>
    </row>
    <row r="62" spans="3:28" ht="12.75" customHeight="1">
      <c r="C62" s="48" t="s">
        <v>224</v>
      </c>
      <c r="D62" s="37"/>
      <c r="E62" s="48">
        <v>524530</v>
      </c>
      <c r="F62" s="48">
        <v>704369</v>
      </c>
      <c r="G62" s="48"/>
      <c r="H62" s="48"/>
      <c r="I62" s="48"/>
      <c r="J62" s="48"/>
      <c r="K62" s="48"/>
      <c r="L62" s="48"/>
      <c r="M62" s="48"/>
      <c r="N62" s="48"/>
      <c r="O62" s="48" t="s">
        <v>222</v>
      </c>
      <c r="P62" s="48" t="s">
        <v>226</v>
      </c>
      <c r="Q62" s="48"/>
      <c r="R62" s="48"/>
      <c r="S62" s="48"/>
      <c r="T62" s="48"/>
      <c r="U62" s="48"/>
      <c r="V62" s="48"/>
      <c r="W62" s="37">
        <v>585361</v>
      </c>
      <c r="X62" s="48"/>
      <c r="Y62" s="48"/>
      <c r="Z62" s="48"/>
      <c r="AA62" s="37">
        <v>390525</v>
      </c>
      <c r="AB62" s="48"/>
    </row>
    <row r="63" spans="3:28" ht="12.75" customHeight="1">
      <c r="C63" s="48" t="s">
        <v>225</v>
      </c>
      <c r="D63" s="37"/>
      <c r="E63" s="48">
        <v>561117</v>
      </c>
      <c r="F63" s="48">
        <v>616615</v>
      </c>
      <c r="G63" s="48"/>
      <c r="H63" s="48"/>
      <c r="I63" s="48"/>
      <c r="J63" s="48"/>
      <c r="K63" s="48"/>
      <c r="L63" s="48"/>
      <c r="M63" s="48"/>
      <c r="N63" s="48"/>
      <c r="O63" s="48" t="s">
        <v>223</v>
      </c>
      <c r="P63" s="37" t="s">
        <v>192</v>
      </c>
      <c r="Q63" s="37"/>
      <c r="R63" s="37"/>
      <c r="S63" s="37"/>
      <c r="T63" s="37"/>
      <c r="U63" s="37"/>
      <c r="V63" s="37"/>
      <c r="W63" s="37">
        <v>585362</v>
      </c>
      <c r="X63" s="37"/>
      <c r="Y63" s="37"/>
      <c r="Z63" s="37"/>
      <c r="AA63" s="37">
        <v>388069</v>
      </c>
      <c r="AB63" s="37"/>
    </row>
    <row r="64" spans="3:28" ht="12.75" customHeight="1">
      <c r="C64" s="48" t="s">
        <v>226</v>
      </c>
      <c r="D64" s="37"/>
      <c r="E64" s="48">
        <v>561160</v>
      </c>
      <c r="F64" s="48">
        <v>708220</v>
      </c>
      <c r="G64" s="48"/>
      <c r="H64" s="48"/>
      <c r="I64" s="48"/>
      <c r="J64" s="48"/>
      <c r="K64" s="48"/>
      <c r="L64" s="48"/>
      <c r="M64" s="48"/>
      <c r="N64" s="48"/>
      <c r="O64" s="48" t="s">
        <v>224</v>
      </c>
      <c r="P64" s="37" t="s">
        <v>220</v>
      </c>
      <c r="Q64" s="37"/>
      <c r="R64" s="37"/>
      <c r="S64" s="37"/>
      <c r="T64" s="37"/>
      <c r="U64" s="37"/>
      <c r="V64" s="37"/>
      <c r="W64" s="48">
        <v>585350</v>
      </c>
      <c r="X64" s="37"/>
      <c r="Y64" s="37"/>
      <c r="Z64" s="37"/>
      <c r="AA64" s="48">
        <v>301351</v>
      </c>
      <c r="AB64" s="37"/>
    </row>
    <row r="65" spans="3:28" ht="12.75" customHeight="1">
      <c r="C65" s="48" t="s">
        <v>192</v>
      </c>
      <c r="D65" s="37"/>
      <c r="E65" s="48">
        <v>571056</v>
      </c>
      <c r="F65" s="48">
        <v>709100</v>
      </c>
      <c r="G65" s="48"/>
      <c r="H65" s="48"/>
      <c r="I65" s="48"/>
      <c r="J65" s="48"/>
      <c r="K65" s="48"/>
      <c r="L65" s="48"/>
      <c r="M65" s="48"/>
      <c r="N65" s="48"/>
      <c r="O65" s="48" t="s">
        <v>225</v>
      </c>
      <c r="P65" s="37" t="s">
        <v>221</v>
      </c>
      <c r="Q65" s="37"/>
      <c r="R65" s="37"/>
      <c r="S65" s="37"/>
      <c r="T65" s="37"/>
      <c r="U65" s="37"/>
      <c r="V65" s="37"/>
      <c r="W65" s="48">
        <v>634198</v>
      </c>
      <c r="X65" s="37"/>
      <c r="Y65" s="37"/>
      <c r="Z65" s="37"/>
      <c r="AA65" s="48">
        <v>390330</v>
      </c>
      <c r="AB65" s="37"/>
    </row>
    <row r="66" spans="3:28" ht="12.75" customHeight="1">
      <c r="C66" s="48" t="s">
        <v>220</v>
      </c>
      <c r="D66" s="37"/>
      <c r="E66" s="48">
        <v>571077</v>
      </c>
      <c r="F66" s="48">
        <v>709110</v>
      </c>
      <c r="G66" s="48"/>
      <c r="H66" s="48"/>
      <c r="I66" s="48"/>
      <c r="J66" s="48"/>
      <c r="K66" s="48"/>
      <c r="L66" s="48"/>
      <c r="M66" s="48"/>
      <c r="N66" s="48"/>
      <c r="O66" s="48" t="s">
        <v>226</v>
      </c>
      <c r="P66" s="48"/>
      <c r="Q66" s="48"/>
      <c r="R66" s="48"/>
      <c r="S66" s="48"/>
      <c r="T66" s="48"/>
      <c r="U66" s="48"/>
      <c r="V66" s="48"/>
      <c r="W66" s="48">
        <v>634199</v>
      </c>
      <c r="X66" s="48"/>
      <c r="Y66" s="48"/>
      <c r="Z66" s="48"/>
      <c r="AA66" s="48">
        <v>301115</v>
      </c>
      <c r="AB66" s="48"/>
    </row>
    <row r="67" spans="3:28" ht="12.75" customHeight="1">
      <c r="C67" s="48" t="s">
        <v>221</v>
      </c>
      <c r="D67" s="37"/>
      <c r="E67" s="48">
        <v>571078</v>
      </c>
      <c r="F67" s="48">
        <v>833037</v>
      </c>
      <c r="G67" s="48"/>
      <c r="H67" s="48"/>
      <c r="I67" s="48"/>
      <c r="J67" s="48"/>
      <c r="K67" s="48"/>
      <c r="L67" s="48"/>
      <c r="M67" s="48"/>
      <c r="N67" s="48"/>
      <c r="O67" s="37" t="s">
        <v>192</v>
      </c>
      <c r="P67" s="37"/>
      <c r="Q67" s="37"/>
      <c r="R67" s="37"/>
      <c r="S67" s="37"/>
      <c r="T67" s="37"/>
      <c r="U67" s="37"/>
      <c r="V67" s="37"/>
      <c r="W67" s="48">
        <v>655105</v>
      </c>
      <c r="X67" s="37"/>
      <c r="Y67" s="37"/>
      <c r="Z67" s="37"/>
      <c r="AA67" s="48">
        <v>340010</v>
      </c>
      <c r="AB67" s="37"/>
    </row>
    <row r="68" spans="3:28" ht="12.75" customHeight="1">
      <c r="C68" s="48"/>
      <c r="D68" s="37"/>
      <c r="E68" s="48">
        <v>571079</v>
      </c>
      <c r="F68" s="48">
        <v>810549</v>
      </c>
      <c r="G68" s="48"/>
      <c r="H68" s="48"/>
      <c r="I68" s="48"/>
      <c r="J68" s="48"/>
      <c r="K68" s="48"/>
      <c r="L68" s="48"/>
      <c r="M68" s="48"/>
      <c r="N68" s="48"/>
      <c r="O68" s="37" t="s">
        <v>220</v>
      </c>
      <c r="P68" s="37"/>
      <c r="Q68" s="37"/>
      <c r="R68" s="37"/>
      <c r="S68" s="37"/>
      <c r="T68" s="37"/>
      <c r="U68" s="37"/>
      <c r="V68" s="37"/>
      <c r="W68" s="48">
        <v>655125</v>
      </c>
      <c r="X68" s="37"/>
      <c r="Y68" s="37"/>
      <c r="Z68" s="37"/>
      <c r="AA68" s="48">
        <v>340007</v>
      </c>
      <c r="AB68" s="37"/>
    </row>
    <row r="69" spans="3:28" ht="12.75" customHeight="1">
      <c r="C69" s="48"/>
      <c r="D69" s="37"/>
      <c r="E69" s="48">
        <v>571080</v>
      </c>
      <c r="F69" s="48">
        <v>812548</v>
      </c>
      <c r="G69" s="48"/>
      <c r="H69" s="48"/>
      <c r="I69" s="48"/>
      <c r="J69" s="48"/>
      <c r="K69" s="48"/>
      <c r="L69" s="48"/>
      <c r="M69" s="48"/>
      <c r="N69" s="48"/>
      <c r="O69" s="37" t="s">
        <v>221</v>
      </c>
      <c r="P69" s="37"/>
      <c r="Q69" s="37"/>
      <c r="R69" s="37"/>
      <c r="S69" s="37"/>
      <c r="T69" s="37"/>
      <c r="U69" s="37"/>
      <c r="V69" s="37"/>
      <c r="W69" s="48">
        <v>655379</v>
      </c>
      <c r="X69" s="37"/>
      <c r="Y69" s="37"/>
      <c r="Z69" s="37"/>
      <c r="AA69" s="48">
        <v>428105</v>
      </c>
      <c r="AB69" s="37"/>
    </row>
    <row r="70" spans="3:28" ht="12.75" customHeight="1">
      <c r="C70" s="48"/>
      <c r="D70" s="37"/>
      <c r="E70" s="48">
        <v>571081</v>
      </c>
      <c r="F70" s="48">
        <v>810547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>
        <v>615582</v>
      </c>
      <c r="X70" s="48"/>
      <c r="Y70" s="48"/>
      <c r="Z70" s="48"/>
      <c r="AA70" s="48">
        <v>301315</v>
      </c>
      <c r="AB70" s="48"/>
    </row>
    <row r="71" spans="3:28" ht="12.75" customHeight="1">
      <c r="C71" s="48"/>
      <c r="D71" s="37"/>
      <c r="E71" s="48">
        <v>571082</v>
      </c>
      <c r="F71" s="48">
        <v>862102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>
        <v>704325</v>
      </c>
      <c r="X71" s="48"/>
      <c r="Y71" s="48"/>
      <c r="Z71" s="48"/>
      <c r="AA71" s="48">
        <v>456146</v>
      </c>
      <c r="AB71" s="48"/>
    </row>
    <row r="72" spans="3:28" ht="12.75" customHeight="1">
      <c r="C72" s="48"/>
      <c r="D72" s="37"/>
      <c r="E72" s="48">
        <v>571083</v>
      </c>
      <c r="F72" s="48">
        <v>812864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>
        <v>801135</v>
      </c>
      <c r="X72" s="48"/>
      <c r="Y72" s="48"/>
      <c r="Z72" s="48"/>
      <c r="AA72" s="48">
        <v>456145</v>
      </c>
      <c r="AB72" s="48"/>
    </row>
    <row r="73" spans="3:28" ht="12.75" customHeight="1">
      <c r="C73" s="48"/>
      <c r="D73" s="37"/>
      <c r="E73" s="37">
        <v>571084</v>
      </c>
      <c r="F73" s="48">
        <v>812865</v>
      </c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>
        <v>801000</v>
      </c>
      <c r="X73" s="48"/>
      <c r="Y73" s="48"/>
      <c r="Z73" s="48"/>
      <c r="AA73" s="48">
        <v>445109</v>
      </c>
      <c r="AB73" s="48"/>
    </row>
    <row r="74" spans="3:28" ht="12.75" customHeight="1">
      <c r="C74" s="48"/>
      <c r="D74" s="37"/>
      <c r="E74" s="37">
        <v>571085</v>
      </c>
      <c r="F74" s="48">
        <v>17</v>
      </c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>
        <v>801104</v>
      </c>
      <c r="X74" s="48"/>
      <c r="Y74" s="48"/>
      <c r="Z74" s="48"/>
      <c r="AA74" s="48">
        <v>445103</v>
      </c>
      <c r="AB74" s="48"/>
    </row>
    <row r="75" spans="3:28" ht="12.75" customHeight="1">
      <c r="C75" s="48"/>
      <c r="D75" s="37"/>
      <c r="E75" s="37">
        <v>571086</v>
      </c>
      <c r="F75" s="48" t="s">
        <v>222</v>
      </c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>
        <v>17</v>
      </c>
      <c r="X75" s="48"/>
      <c r="Y75" s="48"/>
      <c r="Z75" s="48"/>
      <c r="AA75" s="48">
        <v>445104</v>
      </c>
      <c r="AB75" s="48"/>
    </row>
    <row r="76" spans="3:28" ht="12.75" customHeight="1">
      <c r="C76" s="48"/>
      <c r="D76" s="37"/>
      <c r="E76" s="37">
        <v>571087</v>
      </c>
      <c r="F76" s="48" t="s">
        <v>223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 t="s">
        <v>222</v>
      </c>
      <c r="X76" s="48"/>
      <c r="Y76" s="48"/>
      <c r="Z76" s="48"/>
      <c r="AA76" s="48">
        <v>445105</v>
      </c>
      <c r="AB76" s="48"/>
    </row>
    <row r="77" spans="3:28" ht="12.75" customHeight="1">
      <c r="C77" s="48"/>
      <c r="D77" s="37"/>
      <c r="E77" s="37">
        <v>571088</v>
      </c>
      <c r="F77" s="48" t="s">
        <v>224</v>
      </c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 t="s">
        <v>223</v>
      </c>
      <c r="X77" s="48"/>
      <c r="Y77" s="48"/>
      <c r="Z77" s="48"/>
      <c r="AA77" s="37">
        <v>455106</v>
      </c>
      <c r="AB77" s="48"/>
    </row>
    <row r="78" spans="3:28" ht="12.75" customHeight="1">
      <c r="C78" s="48"/>
      <c r="D78" s="37"/>
      <c r="E78" s="37">
        <v>571089</v>
      </c>
      <c r="F78" s="48" t="s">
        <v>225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 t="s">
        <v>224</v>
      </c>
      <c r="X78" s="48"/>
      <c r="Y78" s="48"/>
      <c r="Z78" s="48"/>
      <c r="AA78" s="37">
        <v>486110</v>
      </c>
      <c r="AB78" s="48"/>
    </row>
    <row r="79" spans="3:28" ht="12.75" customHeight="1">
      <c r="C79" s="48"/>
      <c r="D79" s="37"/>
      <c r="E79" s="37">
        <v>571100</v>
      </c>
      <c r="F79" s="48" t="s">
        <v>226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 t="s">
        <v>225</v>
      </c>
      <c r="X79" s="48"/>
      <c r="Y79" s="48"/>
      <c r="Z79" s="48"/>
      <c r="AA79" s="37">
        <v>445107</v>
      </c>
      <c r="AB79" s="48"/>
    </row>
    <row r="80" spans="3:28" ht="12.75" customHeight="1">
      <c r="C80" s="48"/>
      <c r="D80" s="37"/>
      <c r="E80" s="37">
        <v>571101</v>
      </c>
      <c r="F80" s="48" t="s">
        <v>192</v>
      </c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 t="s">
        <v>226</v>
      </c>
      <c r="X80" s="48"/>
      <c r="Y80" s="48"/>
      <c r="Z80" s="48"/>
      <c r="AA80" s="37">
        <v>524299</v>
      </c>
      <c r="AB80" s="48"/>
    </row>
    <row r="81" spans="3:28" ht="12.75" customHeight="1">
      <c r="C81" s="48"/>
      <c r="D81" s="37"/>
      <c r="E81" s="37">
        <v>571102</v>
      </c>
      <c r="F81" s="48" t="s">
        <v>220</v>
      </c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37" t="s">
        <v>192</v>
      </c>
      <c r="X81" s="48"/>
      <c r="Y81" s="48"/>
      <c r="Z81" s="48"/>
      <c r="AA81" s="37">
        <v>504500</v>
      </c>
      <c r="AB81" s="48"/>
    </row>
    <row r="82" spans="3:28" ht="12.75" customHeight="1">
      <c r="C82" s="48"/>
      <c r="D82" s="37"/>
      <c r="E82" s="37">
        <v>571103</v>
      </c>
      <c r="F82" s="48" t="s">
        <v>221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37" t="s">
        <v>220</v>
      </c>
      <c r="X82" s="48"/>
      <c r="Y82" s="48"/>
      <c r="Z82" s="48"/>
      <c r="AA82" s="37">
        <v>504530</v>
      </c>
      <c r="AB82" s="48"/>
    </row>
    <row r="83" spans="3:28" ht="12.75" customHeight="1">
      <c r="C83" s="48"/>
      <c r="D83" s="37"/>
      <c r="E83" s="37">
        <v>571104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 t="s">
        <v>221</v>
      </c>
      <c r="X83" s="37"/>
      <c r="Y83" s="37"/>
      <c r="Z83" s="37"/>
      <c r="AA83" s="37">
        <v>504499</v>
      </c>
      <c r="AB83" s="37"/>
    </row>
    <row r="84" spans="3:28" ht="12.75" customHeight="1">
      <c r="C84" s="48"/>
      <c r="D84" s="37"/>
      <c r="E84" s="37">
        <v>575188</v>
      </c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>
        <v>504518</v>
      </c>
      <c r="AB84" s="37"/>
    </row>
    <row r="85" spans="3:28" ht="12.75" customHeight="1">
      <c r="C85" s="48"/>
      <c r="D85" s="37"/>
      <c r="E85" s="37">
        <v>585635</v>
      </c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>
        <v>504522</v>
      </c>
      <c r="AB85" s="37"/>
    </row>
    <row r="86" spans="3:28" ht="12.75" customHeight="1">
      <c r="C86" s="37"/>
      <c r="D86" s="37"/>
      <c r="E86" s="37">
        <v>585708</v>
      </c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>
        <v>505050</v>
      </c>
      <c r="AB86" s="37"/>
    </row>
    <row r="87" spans="3:28" ht="12.75" customHeight="1">
      <c r="C87" s="37"/>
      <c r="D87" s="37"/>
      <c r="E87" s="37">
        <v>585709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>
        <v>504516</v>
      </c>
      <c r="AB87" s="37"/>
    </row>
    <row r="88" spans="3:28" ht="12.75" customHeight="1">
      <c r="C88" s="37"/>
      <c r="D88" s="37"/>
      <c r="E88" s="37">
        <v>585710</v>
      </c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>
        <v>504546</v>
      </c>
      <c r="AB88" s="37"/>
    </row>
    <row r="89" spans="3:28" ht="12.75" customHeight="1">
      <c r="C89" s="37"/>
      <c r="D89" s="37"/>
      <c r="E89" s="37">
        <v>585711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>
        <v>504558</v>
      </c>
      <c r="AB89" s="37"/>
    </row>
    <row r="90" spans="3:28" ht="12.75" customHeight="1">
      <c r="C90" s="37"/>
      <c r="D90" s="37"/>
      <c r="E90" s="37">
        <v>599206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>
        <v>504589</v>
      </c>
      <c r="AB90" s="37"/>
    </row>
    <row r="91" spans="3:28" ht="12.75" customHeight="1">
      <c r="C91" s="37"/>
      <c r="D91" s="37"/>
      <c r="E91" s="37">
        <v>599207</v>
      </c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>
        <v>504550</v>
      </c>
      <c r="AB91" s="37"/>
    </row>
    <row r="92" spans="3:28" ht="12.75" customHeight="1">
      <c r="C92" s="37"/>
      <c r="D92" s="37"/>
      <c r="E92" s="37">
        <v>599208</v>
      </c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>
        <v>504564</v>
      </c>
      <c r="AB92" s="37"/>
    </row>
    <row r="93" spans="3:28" ht="12.75" customHeight="1">
      <c r="C93" s="37"/>
      <c r="D93" s="37"/>
      <c r="E93" s="37">
        <v>599209</v>
      </c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>
        <v>504582</v>
      </c>
      <c r="AB93" s="37"/>
    </row>
    <row r="94" spans="3:28" ht="12.75" customHeight="1">
      <c r="C94" s="37"/>
      <c r="D94" s="37"/>
      <c r="E94" s="37">
        <v>599210</v>
      </c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>
        <v>530161</v>
      </c>
      <c r="AB94" s="37"/>
    </row>
    <row r="95" spans="3:28" ht="12.75" customHeight="1">
      <c r="C95" s="37"/>
      <c r="D95" s="37"/>
      <c r="E95" s="37">
        <v>599211</v>
      </c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>
        <v>599200</v>
      </c>
      <c r="AB95" s="37"/>
    </row>
    <row r="96" spans="3:28" ht="12.75" customHeight="1">
      <c r="C96" s="37"/>
      <c r="D96" s="37"/>
      <c r="E96" s="37">
        <v>634350</v>
      </c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>
        <v>571152</v>
      </c>
      <c r="AB96" s="37"/>
    </row>
    <row r="97" spans="3:28" ht="12.75" customHeight="1">
      <c r="C97" s="37"/>
      <c r="D97" s="37"/>
      <c r="E97" s="37">
        <v>634351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>
        <v>571206</v>
      </c>
      <c r="AB97" s="37"/>
    </row>
    <row r="98" spans="3:28" ht="12.75" customHeight="1">
      <c r="C98" s="37"/>
      <c r="D98" s="37"/>
      <c r="E98" s="37">
        <v>634352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>
        <v>561131</v>
      </c>
      <c r="AB98" s="37"/>
    </row>
    <row r="99" spans="3:28" ht="12.75" customHeight="1">
      <c r="C99" s="37"/>
      <c r="D99" s="37"/>
      <c r="E99" s="37">
        <v>634353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>
        <v>585405</v>
      </c>
      <c r="AB99" s="37"/>
    </row>
    <row r="100" spans="3:28" ht="12.75" customHeight="1">
      <c r="C100" s="37"/>
      <c r="D100" s="37"/>
      <c r="E100" s="37">
        <v>634354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>
        <v>585433</v>
      </c>
      <c r="AB100" s="37"/>
    </row>
    <row r="101" spans="3:28" ht="12.75" customHeight="1">
      <c r="C101" s="37"/>
      <c r="D101" s="37"/>
      <c r="E101" s="37">
        <v>634355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>
        <v>585439</v>
      </c>
      <c r="AB101" s="37"/>
    </row>
    <row r="102" spans="3:28" ht="12.75" customHeight="1">
      <c r="C102" s="37"/>
      <c r="D102" s="37"/>
      <c r="E102" s="37">
        <v>655003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>
        <v>585639</v>
      </c>
      <c r="AB102" s="37"/>
    </row>
    <row r="103" spans="3:28" ht="12.75" customHeight="1">
      <c r="C103" s="37"/>
      <c r="D103" s="37"/>
      <c r="E103" s="37">
        <v>655004</v>
      </c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>
        <v>504621</v>
      </c>
      <c r="AB103" s="37"/>
    </row>
    <row r="104" spans="3:28" ht="12.75" customHeight="1">
      <c r="C104" s="37"/>
      <c r="D104" s="37"/>
      <c r="E104" s="37">
        <v>655005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>
        <v>504623</v>
      </c>
      <c r="AB104" s="37"/>
    </row>
    <row r="105" spans="3:28" ht="12.75" customHeight="1">
      <c r="C105" s="37"/>
      <c r="D105" s="37"/>
      <c r="E105" s="37">
        <v>655006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>
        <v>504624</v>
      </c>
      <c r="AB105" s="37"/>
    </row>
    <row r="106" spans="3:28" ht="12.75" customHeight="1">
      <c r="C106" s="37"/>
      <c r="D106" s="37"/>
      <c r="E106" s="37">
        <v>655007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>
        <v>504625</v>
      </c>
      <c r="AB106" s="37"/>
    </row>
    <row r="107" spans="3:28" ht="12.75" customHeight="1">
      <c r="C107" s="37"/>
      <c r="D107" s="37"/>
      <c r="E107" s="37">
        <v>655008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>
        <v>585361</v>
      </c>
      <c r="AB107" s="37"/>
    </row>
    <row r="108" spans="3:28" ht="12.75" customHeight="1">
      <c r="C108" s="37"/>
      <c r="D108" s="37"/>
      <c r="E108" s="37">
        <v>655009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>
        <v>615582</v>
      </c>
      <c r="AB108" s="37"/>
    </row>
    <row r="109" spans="3:28" ht="12.75" customHeight="1">
      <c r="C109" s="37"/>
      <c r="D109" s="37"/>
      <c r="E109" s="37">
        <v>655010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>
        <v>634417</v>
      </c>
      <c r="AB109" s="37"/>
    </row>
    <row r="110" spans="3:28" ht="12.75" customHeight="1">
      <c r="C110" s="37"/>
      <c r="D110" s="37"/>
      <c r="E110" s="37">
        <v>655011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>
        <v>634418</v>
      </c>
      <c r="AB110" s="37"/>
    </row>
    <row r="111" spans="3:28" ht="12.75" customHeight="1">
      <c r="C111" s="37"/>
      <c r="D111" s="37"/>
      <c r="E111" s="37">
        <v>655012</v>
      </c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>
        <v>634430</v>
      </c>
      <c r="AB111" s="37"/>
    </row>
    <row r="112" spans="3:28" ht="12.75" customHeight="1">
      <c r="C112" s="37"/>
      <c r="D112" s="37"/>
      <c r="E112" s="37">
        <v>655013</v>
      </c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>
        <v>634431</v>
      </c>
      <c r="AB112" s="37"/>
    </row>
    <row r="113" spans="3:28" ht="12.75" customHeight="1">
      <c r="C113" s="37"/>
      <c r="D113" s="37"/>
      <c r="E113" s="37">
        <v>655014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>
        <v>634441</v>
      </c>
      <c r="AB113" s="37"/>
    </row>
    <row r="114" spans="3:28" ht="12.75" customHeight="1">
      <c r="C114" s="37"/>
      <c r="D114" s="37"/>
      <c r="E114" s="37">
        <v>655394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>
        <v>634442</v>
      </c>
      <c r="AB114" s="37"/>
    </row>
    <row r="115" spans="3:28" ht="12.75" customHeight="1">
      <c r="C115" s="37"/>
      <c r="D115" s="37"/>
      <c r="E115" s="37">
        <v>655395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>
        <v>634434</v>
      </c>
      <c r="AB115" s="37"/>
    </row>
    <row r="116" spans="3:28" ht="12.75" customHeight="1">
      <c r="C116" s="37"/>
      <c r="D116" s="37"/>
      <c r="E116" s="37">
        <v>655396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>
        <v>634435</v>
      </c>
      <c r="AB116" s="37"/>
    </row>
    <row r="117" spans="3:28" ht="12.75" customHeight="1">
      <c r="C117" s="37"/>
      <c r="D117" s="37"/>
      <c r="E117" s="37">
        <v>799095</v>
      </c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>
        <v>561106</v>
      </c>
      <c r="AB117" s="37"/>
    </row>
    <row r="118" spans="3:28" ht="12.75" customHeight="1">
      <c r="C118" s="37"/>
      <c r="D118" s="37"/>
      <c r="E118" s="37">
        <v>975001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>
        <v>655107</v>
      </c>
      <c r="AB118" s="37"/>
    </row>
    <row r="119" spans="3:28" ht="12.75" customHeight="1">
      <c r="C119" s="37"/>
      <c r="D119" s="37"/>
      <c r="E119" s="48">
        <v>17</v>
      </c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>
        <v>655381</v>
      </c>
      <c r="AB119" s="37"/>
    </row>
    <row r="120" spans="3:28" ht="12.75" customHeight="1">
      <c r="C120" s="37"/>
      <c r="D120" s="37"/>
      <c r="E120" s="48" t="s">
        <v>222</v>
      </c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>
        <v>655383</v>
      </c>
      <c r="AB120" s="37"/>
    </row>
    <row r="121" spans="3:28" ht="12.75" customHeight="1">
      <c r="C121" s="37"/>
      <c r="D121" s="37"/>
      <c r="E121" s="48" t="s">
        <v>223</v>
      </c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>
        <v>655283</v>
      </c>
      <c r="AB121" s="37"/>
    </row>
    <row r="122" spans="3:28" ht="12.75" customHeight="1">
      <c r="C122" s="37"/>
      <c r="D122" s="37"/>
      <c r="E122" s="48" t="s">
        <v>224</v>
      </c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>
        <v>662182</v>
      </c>
      <c r="AB122" s="37"/>
    </row>
    <row r="123" spans="3:28" ht="12.75" customHeight="1">
      <c r="C123" s="37"/>
      <c r="D123" s="37"/>
      <c r="E123" s="48" t="s">
        <v>225</v>
      </c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>
        <v>670200</v>
      </c>
      <c r="AB123" s="37"/>
    </row>
    <row r="124" spans="3:28" ht="12.75" customHeight="1">
      <c r="C124" s="37"/>
      <c r="D124" s="37"/>
      <c r="E124" s="48" t="s">
        <v>226</v>
      </c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>
        <v>616250</v>
      </c>
      <c r="AB124" s="37"/>
    </row>
    <row r="125" spans="3:28" ht="12.75" customHeight="1">
      <c r="C125" s="37"/>
      <c r="D125" s="37"/>
      <c r="E125" s="48" t="s">
        <v>192</v>
      </c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>
        <v>616615</v>
      </c>
      <c r="AB125" s="37"/>
    </row>
    <row r="126" spans="3:28" ht="12.75" customHeight="1">
      <c r="C126" s="37"/>
      <c r="D126" s="37"/>
      <c r="E126" s="48" t="s">
        <v>220</v>
      </c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>
        <v>655120</v>
      </c>
      <c r="AB126" s="37"/>
    </row>
    <row r="127" spans="3:28" ht="12.75" customHeight="1">
      <c r="C127" s="37"/>
      <c r="D127" s="37"/>
      <c r="E127" s="48" t="s">
        <v>221</v>
      </c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>
        <v>697009</v>
      </c>
      <c r="AB127" s="37"/>
    </row>
    <row r="128" spans="3:28" ht="12.75" customHeight="1"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>
        <v>657182</v>
      </c>
      <c r="AB128" s="37"/>
    </row>
    <row r="129" spans="3:28" ht="12.75" customHeight="1"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>
        <v>657184</v>
      </c>
      <c r="AB129" s="37"/>
    </row>
    <row r="130" spans="3:28" ht="12.75" customHeight="1"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>
        <v>634436</v>
      </c>
      <c r="AB130" s="37"/>
    </row>
    <row r="131" spans="3:28" ht="12.75" customHeight="1"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>
        <v>704366</v>
      </c>
      <c r="AB131" s="37"/>
    </row>
    <row r="132" spans="3:28" ht="12.75" customHeight="1"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>
        <v>708220</v>
      </c>
      <c r="AB132" s="37"/>
    </row>
    <row r="133" spans="3:28" ht="12.75" customHeight="1"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>
        <v>709100</v>
      </c>
      <c r="AB133" s="37"/>
    </row>
    <row r="134" spans="3:28" ht="12.75" customHeight="1"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>
        <v>709110</v>
      </c>
      <c r="AB134" s="37"/>
    </row>
    <row r="135" spans="3:28" ht="12.75" customHeight="1"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>
        <v>712101</v>
      </c>
      <c r="AB135" s="37"/>
    </row>
    <row r="136" spans="3:28" ht="12.75" customHeight="1"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>
        <v>713041</v>
      </c>
      <c r="AB136" s="37"/>
    </row>
    <row r="137" spans="3:28" ht="12.75" customHeight="1"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>
        <v>713044</v>
      </c>
      <c r="AB137" s="37"/>
    </row>
    <row r="138" spans="3:28" ht="12.75" customHeight="1"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>
        <v>713042</v>
      </c>
      <c r="AB138" s="37"/>
    </row>
    <row r="139" spans="3:28" ht="12.75" customHeight="1"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>
        <v>713043</v>
      </c>
      <c r="AB139" s="37"/>
    </row>
    <row r="140" spans="3:28" ht="12.75" customHeight="1"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>
        <v>715050</v>
      </c>
      <c r="AB140" s="37"/>
    </row>
    <row r="141" spans="3:28" ht="12.75" customHeight="1"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>
        <v>704370</v>
      </c>
      <c r="AB141" s="37"/>
    </row>
    <row r="142" spans="3:28" ht="12.75" customHeight="1"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>
        <v>833037</v>
      </c>
      <c r="AB142" s="37"/>
    </row>
    <row r="143" spans="3:28" ht="12.75" customHeight="1"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>
        <v>810549</v>
      </c>
      <c r="AB143" s="37"/>
    </row>
    <row r="144" spans="3:28" ht="12.75" customHeight="1"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>
        <v>810548</v>
      </c>
      <c r="AB144" s="37"/>
    </row>
    <row r="145" spans="3:28" ht="12.75" customHeight="1"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>
        <v>810547</v>
      </c>
      <c r="AB145" s="37"/>
    </row>
    <row r="146" spans="3:28" ht="12.75" customHeight="1"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>
        <v>862102</v>
      </c>
      <c r="AB146" s="37"/>
    </row>
    <row r="147" spans="3:28" ht="12.75" customHeight="1"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>
        <v>812856</v>
      </c>
      <c r="AB147" s="37"/>
    </row>
    <row r="148" spans="3:28" ht="12.75" customHeight="1"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>
        <v>812860</v>
      </c>
      <c r="AB148" s="37"/>
    </row>
    <row r="149" spans="3:28" ht="12.75" customHeight="1"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>
        <v>812861</v>
      </c>
      <c r="AB149" s="37"/>
    </row>
    <row r="150" spans="3:28" ht="12.75" customHeight="1"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>
        <v>812862</v>
      </c>
      <c r="AB150" s="37"/>
    </row>
    <row r="151" spans="3:28" ht="12.75" customHeight="1"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>
        <v>812863</v>
      </c>
      <c r="AB151" s="37"/>
    </row>
    <row r="152" spans="3:28" ht="12.75" customHeight="1"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>
        <v>812107</v>
      </c>
      <c r="AB152" s="37"/>
    </row>
    <row r="153" spans="3:28" ht="12.75" customHeight="1"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>
        <v>812864</v>
      </c>
      <c r="AB153" s="37"/>
    </row>
    <row r="154" spans="3:28" ht="12.75" customHeight="1"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>
        <v>812865</v>
      </c>
      <c r="AB154" s="37"/>
    </row>
    <row r="155" spans="3:28" ht="12.75" customHeight="1"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>
        <v>812518</v>
      </c>
      <c r="AB155" s="37"/>
    </row>
    <row r="156" spans="3:28" ht="12.75" customHeight="1"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>
        <v>812110</v>
      </c>
      <c r="AB156" s="37"/>
    </row>
    <row r="157" spans="3:28" ht="12.75" customHeight="1"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>
        <v>812868</v>
      </c>
      <c r="AB157" s="37"/>
    </row>
    <row r="158" spans="3:28" ht="12.75" customHeight="1"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48">
        <v>17</v>
      </c>
      <c r="AB158" s="37"/>
    </row>
    <row r="159" spans="3:28" ht="12.75" customHeight="1"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48" t="s">
        <v>222</v>
      </c>
      <c r="AB159" s="37"/>
    </row>
    <row r="160" spans="3:28" ht="12.75" customHeight="1"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48" t="s">
        <v>223</v>
      </c>
      <c r="AB160" s="37"/>
    </row>
    <row r="161" spans="3:28" ht="12.75" customHeight="1"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48" t="s">
        <v>224</v>
      </c>
      <c r="AB161" s="37"/>
    </row>
    <row r="162" spans="3:28" ht="12.75" customHeight="1"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48" t="s">
        <v>225</v>
      </c>
      <c r="AB162" s="37"/>
    </row>
    <row r="163" spans="3:28" ht="12.75" customHeight="1"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48" t="s">
        <v>226</v>
      </c>
      <c r="AB163" s="37"/>
    </row>
    <row r="164" spans="3:28" ht="12.75" customHeight="1"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 t="s">
        <v>192</v>
      </c>
      <c r="AB164" s="37"/>
    </row>
    <row r="165" spans="3:28" ht="12.75" customHeight="1"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 t="s">
        <v>220</v>
      </c>
      <c r="AB165" s="37"/>
    </row>
    <row r="166" spans="3:28" ht="12.75" customHeight="1"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 t="s">
        <v>221</v>
      </c>
      <c r="AB166" s="37"/>
    </row>
    <row r="167" spans="3:28" ht="12.75" customHeight="1"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3:28" ht="12.75" customHeight="1"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3:28" ht="12.75" customHeight="1"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3:28" ht="12.75" customHeight="1"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3:28" ht="12.75" customHeight="1"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3:28" ht="12.75" customHeight="1"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3:28" ht="12.75" customHeight="1"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3:28" ht="12.75" customHeight="1"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3:28" ht="12.75" customHeight="1"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3:28" ht="12.75" customHeight="1"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3:28" ht="12.75" customHeight="1"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3:28" ht="12.75" customHeight="1"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3:28" ht="12.75" customHeight="1"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3:28" ht="12.75" customHeight="1"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3:28" ht="12.75" customHeight="1"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3:28" ht="12.75" customHeight="1"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3:28" ht="12.75" customHeight="1"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3:28" ht="12.75" customHeight="1"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3:28" ht="12.75" customHeight="1"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3:28" ht="12.75" customHeight="1"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3:28" ht="12.75" customHeight="1"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3:28" ht="12.75" customHeight="1"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3:28" ht="12.75" customHeight="1"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3:28" ht="12.75" customHeight="1"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3:28" ht="12.75" customHeight="1"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3:28" ht="12.75" customHeight="1"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3:28" ht="12.75" customHeight="1"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3:28" ht="12.75" customHeight="1"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3:28" ht="12.75" customHeight="1"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3:28" ht="12.75" customHeight="1"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3:28" ht="12.75" customHeight="1"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3:28" ht="12.75" customHeight="1"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3:28" ht="12.75" customHeight="1"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3:28" ht="12.75" customHeight="1"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3:28" ht="12.75" customHeight="1"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3:28" ht="12.75" customHeight="1"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3:28" ht="12.75" customHeight="1"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3:28" ht="12.75" customHeight="1"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3:28" ht="12.75" customHeight="1"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3:28" ht="12.75" customHeight="1"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3:28" ht="12.75" customHeight="1"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3:28" ht="12.75" customHeight="1"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3:28" ht="12.75" customHeight="1"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3:28" ht="12.75" customHeight="1"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3:28" ht="12.75" customHeight="1"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3:28" ht="12.75" customHeight="1"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3:28" ht="12.75" customHeight="1"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3:28" ht="12.75" customHeight="1"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3:28" ht="12.75" customHeight="1"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3:28" ht="12.75" customHeight="1"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3:28" ht="12.75" customHeight="1"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3:28" ht="12.75" customHeight="1"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3:28" ht="12.75" customHeight="1"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3:28" ht="12.75" customHeight="1"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3:28" ht="12.75" customHeight="1"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3:28" ht="12.75" customHeight="1"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3:28" ht="12.75" customHeight="1"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3:28" ht="12.75" customHeight="1"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3:28" ht="12.75" customHeight="1"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3:28" ht="12.75" customHeight="1"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3:28" ht="12.75" customHeight="1"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3:28" ht="12.75" customHeight="1"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3:28" ht="12.75" customHeight="1"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3:28" ht="12.75" customHeight="1"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3:28" ht="12.75" customHeight="1"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3:28" ht="12.75" customHeight="1"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3:28" ht="12.75" customHeight="1"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3:28" ht="12.75" customHeight="1"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3:28" ht="12.75" customHeight="1"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3:28" ht="12.75" customHeight="1"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3:28" ht="12.75" customHeight="1"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3:28" ht="12.75" customHeight="1"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3:28" ht="12.75" customHeight="1"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3:28" ht="12.75" customHeight="1"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3:28" ht="12.75" customHeight="1"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3:28" ht="12.75" customHeight="1"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3:28" ht="12.75" customHeight="1"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3:28" ht="12.75" customHeight="1"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3:28" ht="12.75" customHeight="1"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3:28" ht="12.75" customHeight="1"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3:28" ht="12.75" customHeight="1"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3:28" ht="12.75" customHeight="1"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3:28" ht="12.75" customHeight="1"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3:28" ht="12.75" customHeight="1"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3:28" ht="12.75" customHeight="1"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3:28" ht="12.75" customHeight="1"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3:28" ht="12.75" customHeight="1"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3:28" ht="12.75" customHeight="1"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3:28" ht="12.75" customHeight="1"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3:28" ht="12.75" customHeight="1"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3:28" ht="12.75" customHeight="1"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3:28" ht="12.75" customHeight="1"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3:28" ht="12.75" customHeight="1"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3:28" ht="12.75" customHeight="1"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3:28" ht="12.75" customHeight="1"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3:28" ht="12.75" customHeight="1"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3:28" ht="12.75" customHeight="1"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3:28" ht="12.75" customHeight="1"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3:28" ht="12.75" customHeight="1"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3:28" ht="12.75" customHeight="1"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3:28" ht="12.75" customHeight="1"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3:28" ht="12.75" customHeight="1"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3:28" ht="12.75" customHeight="1"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3:28" ht="12.75" customHeight="1"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3:28" ht="12.75" customHeight="1"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3:28" ht="12.75" customHeight="1"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3:28" ht="12.75" customHeight="1"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3:28" ht="12.75" customHeight="1"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3:28" ht="12.75" customHeight="1"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3:28" ht="12.75" customHeight="1"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3:28" ht="12.75" customHeight="1"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3:28" ht="12.75" customHeight="1"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3:28" ht="12.75" customHeight="1"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3:28" ht="12.75" customHeight="1"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3:28" ht="12.75" customHeight="1"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3:28" ht="12.75" customHeight="1"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3:28" ht="12.75" customHeight="1"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3:28" ht="12.75" customHeight="1"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3:28" ht="12.75" customHeight="1"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3:28" ht="12.75" customHeight="1"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3:28" ht="12.75" customHeight="1"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3:28" ht="12.75" customHeight="1"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3:28" ht="12.75" customHeight="1"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3:28" ht="12.75" customHeight="1"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3:28" ht="12.75" customHeight="1"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3:28" ht="12.75" customHeight="1"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3:28" ht="12.75" customHeight="1"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3:28" ht="12.75" customHeight="1"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3:28" ht="12.75" customHeight="1"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3:28" ht="12.75" customHeight="1"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3:28" ht="12.75" customHeight="1"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3:28" ht="12.75" customHeight="1"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3:28" ht="12.75" customHeight="1"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3:28" ht="12.75" customHeight="1"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3:28" ht="12.75" customHeight="1"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3:28" ht="12.75" customHeight="1"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3:28" ht="12.75" customHeight="1"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 spans="3:28" ht="12.75" customHeight="1"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 spans="3:28" ht="12.75" customHeight="1"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 spans="3:28" ht="12.75" customHeight="1"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 spans="3:28" ht="12.75" customHeight="1"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 spans="3:28" ht="12.75" customHeight="1"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 spans="3:28" ht="12.75" customHeight="1"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 spans="3:28" ht="12.75" customHeight="1"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 spans="3:28" ht="12.75" customHeight="1"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 spans="3:28" ht="12.75" customHeight="1"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 spans="3:28" ht="12.75" customHeight="1"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 spans="3:28" ht="12.75" customHeight="1"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 spans="3:28" ht="12.75" customHeight="1"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 spans="3:28" ht="12.75" customHeight="1"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 spans="3:28" ht="12.75" customHeight="1"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 spans="3:28" ht="12.75" customHeight="1"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 spans="3:28" ht="12.75" customHeight="1"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 spans="3:28" ht="12.75" customHeight="1"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 spans="3:28" ht="12.75" customHeight="1"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 spans="3:28" ht="12.75" customHeight="1"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 spans="3:28" ht="12.75" customHeight="1"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3:28" ht="12.75" customHeight="1"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 spans="3:28" ht="12.75" customHeight="1"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 spans="3:28" ht="12.75" customHeight="1"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 spans="3:28" ht="12.75" customHeight="1"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 spans="3:28" ht="12.75" customHeight="1"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 spans="3:28" ht="12.75" customHeight="1"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 spans="3:28" ht="12.75" customHeight="1"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 spans="3:28" ht="12.75" customHeight="1"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 spans="3:28" ht="12.75" customHeight="1"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3:28" ht="12.75" customHeight="1"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3:28" ht="12.75" customHeight="1"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 spans="3:28" ht="12.75" customHeight="1"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 spans="3:28" ht="12.75" customHeight="1"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 spans="3:28" ht="12.75" customHeight="1"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 spans="3:28" ht="12.75" customHeight="1"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 spans="3:28" ht="12.75" customHeight="1"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 spans="3:28" ht="12.75" customHeight="1"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 spans="3:28" ht="12.75" customHeight="1"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 spans="3:28" ht="12.75" customHeight="1"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 spans="3:28" ht="12.75" customHeight="1"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 spans="3:28" ht="12.75" customHeight="1"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pans="3:28" ht="12.75" customHeight="1"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pans="3:28" ht="12.75" customHeight="1"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pans="3:28" ht="12.75" customHeight="1"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pans="3:28" ht="12.75" customHeight="1"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pans="3:28" ht="12.75" customHeight="1"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pans="3:28" ht="12.75" customHeight="1"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pans="3:28" ht="12.75" customHeight="1"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3:28" ht="12.75" customHeight="1"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pans="3:28" ht="12.75" customHeight="1"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pans="3:28" ht="12.75" customHeight="1"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pans="3:28" ht="12.75" customHeight="1"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pans="3:28" ht="12.75" customHeight="1"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pans="3:28" ht="12.75" customHeight="1"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pans="3:28" ht="12.75" customHeight="1"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pans="3:28" ht="12.75" customHeight="1"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pans="3:28" ht="12.75" customHeight="1"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pans="3:28" ht="12.75" customHeight="1"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pans="3:28" ht="12.75" customHeight="1"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3:28" ht="12.75" customHeight="1"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pans="3:28" ht="12.75" customHeight="1"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pans="3:28" ht="12.75" customHeight="1"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pans="3:28" ht="12.75" customHeight="1"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pans="3:28" ht="12.75" customHeight="1"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pans="3:28" ht="12.75" customHeight="1"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pans="3:28" ht="12.75" customHeight="1"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pans="3:28" ht="12.75" customHeight="1"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pans="3:28" ht="12.75" customHeight="1"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pans="3:28" ht="12.75" customHeight="1"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pans="3:28" ht="12.75" customHeight="1"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pans="3:28" ht="12.75" customHeight="1"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pans="3:28" ht="12.75" customHeight="1"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pans="3:28" ht="12.75" customHeight="1"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pans="3:28" ht="12.75" customHeight="1"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pans="3:28" ht="12.75" customHeight="1"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pans="3:28" ht="12.75" customHeight="1"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 spans="3:28" ht="12.75" customHeight="1"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 spans="3:28" ht="12.75" customHeight="1"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 spans="3:28" ht="12.75" customHeight="1"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 spans="3:28" ht="12.75" customHeight="1"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 spans="3:28" ht="12.75" customHeight="1"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 spans="3:28" ht="12.75" customHeight="1"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 spans="3:28" ht="12.75" customHeight="1"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 spans="3:28" ht="12.75" customHeight="1"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 spans="3:28" ht="12.75" customHeight="1"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 spans="3:28" ht="12.75" customHeight="1"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 spans="3:28" ht="12.75" customHeight="1"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 spans="3:28" ht="12.75" customHeight="1"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 spans="3:28" ht="12.75" customHeight="1"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 spans="3:28" ht="12.75" customHeight="1"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3:28" ht="12.75" customHeight="1"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 spans="3:28" ht="12.75" customHeight="1"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 spans="3:28" ht="12.75" customHeight="1"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 spans="3:28" ht="12.75" customHeight="1"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 spans="3:28" ht="12.75" customHeight="1"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 spans="3:28" ht="12.75" customHeight="1"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 spans="3:28" ht="12.75" customHeight="1"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 spans="3:28" ht="12.75" customHeight="1"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3:28" ht="12.75" customHeight="1"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 spans="3:28" ht="12.75" customHeight="1"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 spans="3:28" ht="12.75" customHeight="1"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 spans="3:28" ht="12.75" customHeight="1"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 spans="3:28" ht="12.75" customHeight="1"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 spans="3:28" ht="12.75" customHeight="1"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 spans="3:28" ht="12.75" customHeight="1"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 spans="3:28" ht="12.75" customHeight="1"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3:28" ht="12.75" customHeight="1"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 spans="3:28" ht="12.75" customHeight="1"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 spans="3:28" ht="12.75" customHeight="1"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 spans="3:28" ht="12.75" customHeight="1"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 spans="3:28" ht="12.75" customHeight="1"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 spans="3:28" ht="12.75" customHeight="1"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 spans="3:28" ht="12.75" customHeight="1"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 spans="3:28" ht="12.75" customHeight="1"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 spans="3:28" ht="12.75" customHeight="1"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 spans="3:28" ht="12.75" customHeight="1"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 spans="3:28" ht="12.75" customHeight="1"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 spans="3:28" ht="12.75" customHeight="1"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 spans="3:28" ht="12.75" customHeight="1"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 spans="3:28" ht="12.75" customHeight="1"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 spans="3:28" ht="12.75" customHeight="1"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 spans="3:28" ht="12.75" customHeight="1"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 spans="3:28" ht="12.75" customHeight="1"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 spans="3:28" ht="12.75" customHeight="1"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 spans="3:28" ht="12.75" customHeight="1"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 spans="3:28" ht="12.75" customHeight="1"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 spans="3:28" ht="12.75" customHeight="1"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 spans="3:28" ht="12.75" customHeight="1"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 spans="3:28" ht="12.75" customHeight="1"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 spans="3:28" ht="12.75" customHeight="1"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 spans="3:28" ht="12.75" customHeight="1"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 spans="3:28" ht="12.75" customHeight="1"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 spans="3:28" ht="12.75" customHeight="1"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3:28" ht="12.75" customHeight="1"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 spans="3:28" ht="12.75" customHeight="1"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 spans="3:28" ht="12.75" customHeight="1"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 spans="3:28" ht="12.75" customHeight="1"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 spans="3:28" ht="12.75" customHeight="1"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 spans="3:28" ht="12.75" customHeight="1"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 spans="3:28" ht="12.75" customHeight="1"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 spans="3:28" ht="12.75" customHeight="1"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 spans="3:28" ht="12.75" customHeight="1"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 spans="3:28" ht="12.75" customHeight="1"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 spans="3:28" ht="12.75" customHeight="1"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 spans="3:28" ht="12.75" customHeight="1"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 spans="3:28" ht="12.75" customHeight="1"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 spans="3:28" ht="12.75" customHeight="1"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 spans="3:28" ht="12.75" customHeight="1"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 spans="3:28" ht="12.75" customHeight="1"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 spans="3:28" ht="12.75" customHeight="1"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 spans="3:28" ht="12.75" customHeight="1"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 spans="3:28" ht="12.75" customHeight="1"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 spans="3:28" ht="12.75" customHeight="1"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 spans="3:28" ht="12.75" customHeight="1"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 spans="3:28" ht="12.75" customHeight="1"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 spans="3:28" ht="12.75" customHeight="1"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 spans="3:28" ht="12.75" customHeight="1"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 spans="3:28" ht="12.75" customHeight="1"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 spans="3:28" ht="12.75" customHeight="1"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 spans="3:28" ht="12.75" customHeight="1"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 spans="3:28" ht="12.75" customHeight="1"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 spans="3:28" ht="12.75" customHeight="1"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 spans="3:28" ht="12.75" customHeight="1"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 spans="3:28" ht="12.75" customHeight="1"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 spans="3:28" ht="12.75" customHeight="1"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 spans="3:28" ht="12.75" customHeight="1"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 spans="3:28" ht="12.75" customHeight="1"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 spans="3:28" ht="12.75" customHeight="1"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 spans="3:28" ht="12.75" customHeight="1"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 spans="3:28" ht="12.75" customHeight="1"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 spans="3:28" ht="12.75" customHeight="1"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 spans="3:28" ht="12.75" customHeight="1"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 spans="3:28" ht="12.75" customHeight="1"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 spans="3:28" ht="12.75" customHeight="1"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 spans="3:28" ht="12.75" customHeight="1"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 spans="3:28" ht="12.75" customHeight="1"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 spans="3:28" ht="12.75" customHeight="1"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 spans="3:28" ht="12.75" customHeight="1"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 spans="3:28" ht="12.75" customHeight="1"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 spans="3:28" ht="12.75" customHeight="1"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 spans="3:28" ht="12.75" customHeight="1"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 spans="3:28" ht="12.75" customHeight="1"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 spans="3:28" ht="12.75" customHeight="1"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 spans="3:28" ht="12.75" customHeight="1"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 spans="3:28" ht="12.75" customHeight="1"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 spans="3:28" ht="12.75" customHeight="1"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 spans="3:28" ht="12.75" customHeight="1"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 spans="3:28" ht="12.75" customHeight="1"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 spans="3:28" ht="12.75" customHeight="1"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 spans="3:28" ht="12.75" customHeight="1"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 spans="3:28" ht="12.75" customHeight="1"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 spans="3:28" ht="12.75" customHeight="1"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3:28" ht="12.75" customHeight="1"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 spans="3:28" ht="12.75" customHeight="1"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 spans="3:28" ht="12.75" customHeight="1"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 spans="3:28" ht="12.75" customHeight="1"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 spans="3:28" ht="12.75" customHeight="1"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 spans="3:28" ht="12.75" customHeight="1"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 spans="3:28" ht="12.75" customHeight="1"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 spans="3:28" ht="12.75" customHeight="1"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 spans="3:28" ht="12.75" customHeight="1"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 spans="3:28" ht="12.75" customHeight="1"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 spans="3:28" ht="12.75" customHeight="1"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 spans="3:28" ht="12.75" customHeight="1"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 spans="3:28" ht="12.75" customHeight="1"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 spans="3:28" ht="12.75" customHeight="1"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 spans="3:28" ht="12.75" customHeight="1"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 spans="3:28" ht="12.75" customHeight="1"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 spans="3:28" ht="12.75" customHeight="1"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 spans="3:28" ht="12.75" customHeight="1"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 spans="3:28" ht="12.75" customHeight="1"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 spans="3:28" ht="12.75" customHeight="1"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 spans="3:28" ht="12.75" customHeight="1"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 spans="3:28" ht="12.75" customHeight="1"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 spans="3:28" ht="12.75" customHeight="1"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 spans="3:28" ht="12.75" customHeight="1"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 spans="3:28" ht="12.75" customHeight="1"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 spans="3:28" ht="12.75" customHeight="1"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 spans="3:28" ht="12.75" customHeight="1"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 spans="3:28" ht="12.75" customHeight="1"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 spans="3:28" ht="12.75" customHeight="1"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 spans="3:28" ht="12.75" customHeight="1"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 spans="3:28" ht="12.75" customHeight="1"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 spans="3:28" ht="12.75" customHeight="1"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 spans="3:28" ht="12.75" customHeight="1"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 spans="3:28" ht="12.75" customHeight="1"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 spans="3:28" ht="12.75" customHeight="1"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 spans="3:28" ht="12.75" customHeight="1"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 spans="3:28" ht="12.75" customHeight="1"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 spans="3:28" ht="12.75" customHeight="1"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 spans="3:28" ht="12.75" customHeight="1"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 spans="3:28" ht="12.75" customHeight="1"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 spans="3:28" ht="12.75" customHeight="1"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 spans="3:28" ht="12.75" customHeight="1"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3:28" ht="12.75" customHeight="1"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 spans="3:28" ht="12.75" customHeight="1"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 spans="3:28" ht="12.75" customHeight="1"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 spans="3:28" ht="12.75" customHeight="1"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 spans="3:28" ht="12.75" customHeight="1"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 spans="3:28" ht="12.75" customHeight="1"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 spans="3:28" ht="12.75" customHeight="1"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 spans="3:28" ht="12.75" customHeight="1"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 spans="3:28" ht="12.75" customHeight="1"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 spans="3:28" ht="12.75" customHeight="1"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 spans="3:28" ht="12.75" customHeight="1"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 spans="3:28" ht="12.75" customHeight="1"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 spans="3:28" ht="12.75" customHeight="1"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 spans="3:28" ht="12.75" customHeight="1"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 spans="3:28" ht="12.75" customHeight="1"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 spans="3:28" ht="12.75" customHeight="1"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 spans="3:28" ht="12.75" customHeight="1"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 spans="3:28" ht="12.75" customHeight="1"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 spans="3:28" ht="12.75" customHeight="1"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 spans="3:28" ht="12.75" customHeight="1"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 spans="3:28" ht="12.75" customHeight="1"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 spans="3:28" ht="12.75" customHeight="1"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 spans="3:28" ht="12.75" customHeight="1"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 spans="3:28" ht="12.75" customHeight="1"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 spans="3:28" ht="12.75" customHeight="1"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 spans="3:28" ht="12.75" customHeight="1"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 spans="3:28" ht="12.75" customHeight="1"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 spans="3:28" ht="12.75" customHeight="1"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 spans="3:28" ht="12.75" customHeight="1"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 spans="3:28" ht="12.75" customHeight="1"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 spans="3:28" ht="12.75" customHeight="1"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 spans="3:28" ht="12.75" customHeight="1"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 spans="3:28" ht="12.75" customHeight="1"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 spans="3:28" ht="12.75" customHeight="1"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 spans="3:28" ht="12.75" customHeight="1"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 spans="3:28" ht="12.75" customHeight="1"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 spans="3:28" ht="12.75" customHeight="1"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 spans="3:28" ht="12.75" customHeight="1"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 spans="3:28" ht="12.75" customHeight="1"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 spans="3:28" ht="12.75" customHeight="1"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 spans="3:28" ht="12.75" customHeight="1"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 spans="3:28" ht="12.75" customHeight="1"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 spans="3:28" ht="12.75" customHeight="1"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 spans="3:28" ht="12.75" customHeight="1"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 spans="3:28" ht="12.75" customHeight="1"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 spans="3:28" ht="12.75" customHeight="1"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 spans="3:28" ht="12.75" customHeight="1"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 spans="3:28" ht="12.75" customHeight="1"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 spans="3:28" ht="12.75" customHeight="1"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 spans="3:28" ht="12.75" customHeight="1"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 spans="3:28" ht="12.75" customHeight="1"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 spans="3:28" ht="12.75" customHeight="1"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 spans="3:28" ht="12.75" customHeight="1"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 spans="3:28" ht="12.75" customHeight="1"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 spans="3:28" ht="12.75" customHeight="1"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 spans="3:28" ht="12.75" customHeight="1"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 spans="3:28" ht="12.75" customHeight="1"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 spans="3:28" ht="12.75" customHeight="1"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 spans="3:28" ht="12.75" customHeight="1"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 spans="3:28" ht="12.75" customHeight="1"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 spans="3:28" ht="12.75" customHeight="1"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 spans="3:28" ht="12.75" customHeight="1"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 spans="3:28" ht="12.75" customHeight="1"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 spans="3:28" ht="12.75" customHeight="1"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 spans="3:28" ht="12.75" customHeight="1"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 spans="3:28" ht="12.75" customHeight="1"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 spans="3:28" ht="12.75" customHeight="1"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 spans="3:28" ht="12.75" customHeight="1"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 spans="3:28" ht="12.75" customHeight="1"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 spans="3:28" ht="12.75" customHeight="1"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 spans="3:28" ht="12.75" customHeight="1"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 spans="3:28" ht="12.75" customHeight="1"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 spans="3:28" ht="12.75" customHeight="1"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 spans="3:28" ht="12.75" customHeight="1"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 spans="3:28" ht="12.75" customHeight="1"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 spans="3:28" ht="12.75" customHeight="1"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 spans="3:28" ht="12.75" customHeight="1"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 spans="3:28" ht="12.75" customHeight="1"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 spans="3:28" ht="12.75" customHeight="1"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 spans="3:28" ht="12.75" customHeight="1"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 spans="3:28" ht="12.75" customHeight="1"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 spans="3:28" ht="12.75" customHeight="1"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 spans="3:28" ht="12.75" customHeight="1"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 spans="3:28" ht="12.75" customHeight="1"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 spans="3:28" ht="12.75" customHeight="1"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 spans="3:28" ht="12.75" customHeight="1"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 spans="3:28" ht="12.75" customHeight="1"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 spans="3:28" ht="12.75" customHeight="1"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 spans="3:28" ht="12.75" customHeight="1"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 spans="3:28" ht="12.75" customHeight="1"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 spans="3:28" ht="12.75" customHeight="1"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 spans="3:28" ht="12.75" customHeight="1"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 spans="3:28" ht="12.75" customHeight="1"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 spans="3:28" ht="12.75" customHeight="1"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 spans="3:28" ht="12.75" customHeight="1"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 spans="3:28" ht="12.75" customHeight="1"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 spans="3:28" ht="12.75" customHeight="1"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 spans="3:28" ht="12.75" customHeight="1"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3:28" ht="12.75" customHeight="1"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 spans="3:28" ht="12.75" customHeight="1"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 spans="3:28" ht="12.75" customHeight="1"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 spans="3:28" ht="12.75" customHeight="1"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 spans="3:28" ht="12.75" customHeight="1"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 spans="3:28" ht="12.75" customHeight="1"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 spans="3:28" ht="12.75" customHeight="1"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 spans="3:28" ht="12.75" customHeight="1"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 spans="3:28" ht="12.75" customHeight="1"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 spans="3:28" ht="12.75" customHeight="1"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 spans="3:28" ht="12.75" customHeight="1"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 spans="3:28" ht="12.75" customHeight="1"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 spans="3:28" ht="12.75" customHeight="1"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 spans="3:28" ht="12.75" customHeight="1"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 spans="3:28" ht="12.75" customHeight="1"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 spans="3:28" ht="12.75" customHeight="1"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 spans="3:28" ht="12.75" customHeight="1"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 spans="3:28" ht="12.75" customHeight="1"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 spans="3:28" ht="12.75" customHeight="1"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 spans="3:28" ht="12.75" customHeight="1"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 spans="3:28" ht="12.75" customHeight="1"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 spans="3:28" ht="12.75" customHeight="1"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 spans="3:28" ht="12.75" customHeight="1"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 spans="3:28" ht="12.75" customHeight="1"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 spans="3:28" ht="12.75" customHeight="1"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 spans="3:28" ht="12.75" customHeight="1"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 spans="3:28" ht="12.75" customHeight="1"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 spans="3:28" ht="12.75" customHeight="1"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 spans="3:28" ht="12.75" customHeight="1"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 spans="3:28" ht="12.75" customHeight="1"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 spans="3:28" ht="12.75" customHeight="1"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 spans="3:28" ht="12.75" customHeight="1"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 spans="3:28" ht="12.75" customHeight="1"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 spans="3:28" ht="12.75" customHeight="1"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 spans="3:28" ht="12.75" customHeight="1"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 spans="3:28" ht="12.75" customHeight="1"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 spans="3:28" ht="12.75" customHeight="1"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 spans="3:28" ht="12.75" customHeight="1"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 spans="3:28" ht="12.75" customHeight="1"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 spans="3:28" ht="12.75" customHeight="1"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 spans="3:28" ht="12.75" customHeight="1"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 spans="3:28" ht="12.75" customHeight="1"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 spans="3:28" ht="12.75" customHeight="1"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 spans="3:28" ht="12.75" customHeight="1"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 spans="3:28" ht="12.75" customHeight="1"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 spans="3:28" ht="12.75" customHeight="1"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 spans="3:28" ht="12.75" customHeight="1"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 spans="3:28" ht="12.75" customHeight="1"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 spans="3:28" ht="12.75" customHeight="1"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 spans="3:28" ht="12.75" customHeight="1"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 spans="3:28" ht="12.75" customHeight="1"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 spans="3:28" ht="12.75" customHeight="1"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 spans="3:28" ht="12.75" customHeight="1"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 spans="3:28" ht="12.75" customHeight="1"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 spans="3:28" ht="12.75" customHeight="1"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 spans="3:28" ht="12.75" customHeight="1"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 spans="3:28" ht="12.75" customHeight="1"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 spans="3:28" ht="12.75" customHeight="1"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 spans="3:28" ht="12.75" customHeight="1"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 spans="3:28" ht="12.75" customHeight="1"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 spans="3:28" ht="12.75" customHeight="1"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 spans="3:28" ht="12.75" customHeight="1"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 spans="3:28" ht="12.75" customHeight="1"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 spans="3:28" ht="12.75" customHeight="1"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 spans="3:28" ht="12.75" customHeight="1"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 spans="3:28" ht="12.75" customHeight="1"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 spans="3:28" ht="12.75" customHeight="1"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 spans="3:28" ht="12.75" customHeight="1"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 spans="3:28" ht="12.75" customHeight="1"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 spans="3:28" ht="12.75" customHeight="1"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 spans="3:28" ht="12.75" customHeight="1"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 spans="3:28" ht="12.75" customHeight="1"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 spans="3:28" ht="12.75" customHeight="1"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 spans="3:28" ht="12.75" customHeight="1"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 spans="3:28" ht="12.75" customHeight="1"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 spans="3:28" ht="12.75" customHeight="1"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 spans="3:28" ht="12.75" customHeight="1"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 spans="3:28" ht="12.75" customHeight="1"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 spans="3:28" ht="12.75" customHeight="1"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 spans="3:28" ht="12.75" customHeight="1"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 spans="3:28" ht="12.75" customHeight="1"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 spans="3:28" ht="12.75" customHeight="1"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 spans="3:28" ht="12.75" customHeight="1"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 spans="3:28" ht="12.75" customHeight="1"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 spans="3:28" ht="12.75" customHeight="1"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 spans="3:28" ht="12.75" customHeight="1"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 spans="3:28" ht="12.75" customHeight="1"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 spans="3:28" ht="12.75" customHeight="1"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 spans="3:28" ht="12.75" customHeight="1"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 spans="3:28" ht="12.75" customHeight="1"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 spans="3:28" ht="12.75" customHeight="1"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 spans="3:28" ht="12.75" customHeight="1"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 spans="3:28" ht="12.75" customHeight="1"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 spans="3:28" ht="12.75" customHeight="1"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 spans="3:28" ht="12.75" customHeight="1"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3:28" ht="12.75" customHeight="1"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 spans="3:28" ht="12.75" customHeight="1"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 spans="3:28" ht="12.75" customHeight="1"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 spans="3:28" ht="12.75" customHeight="1"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 spans="3:28" ht="12.75" customHeight="1"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 spans="3:28" ht="12.75" customHeight="1"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 spans="3:28" ht="12.75" customHeight="1"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 spans="3:28" ht="12.75" customHeight="1"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 spans="3:28" ht="12.75" customHeight="1"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 spans="3:28" ht="12.75" customHeight="1"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 spans="3:28" ht="12.75" customHeight="1"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 spans="3:28" ht="12.75" customHeight="1"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 spans="3:28" ht="12.75" customHeight="1"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 spans="3:28" ht="12.75" customHeight="1"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3:28" ht="12.75" customHeight="1"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 spans="3:28" ht="12.75" customHeight="1"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 spans="3:28" ht="12.75" customHeight="1"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 spans="3:28" ht="12.75" customHeight="1"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 spans="3:28" ht="12.75" customHeight="1"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 spans="3:28" ht="12.75" customHeight="1"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 spans="3:28" ht="12.75" customHeight="1"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 spans="3:28" ht="12.75" customHeight="1"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 spans="3:28" ht="12.75" customHeight="1"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 spans="3:28" ht="12.75" customHeight="1"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 spans="3:28" ht="12.75" customHeight="1"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 spans="3:28" ht="12.75" customHeight="1"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 spans="3:28" ht="12.75" customHeight="1"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 spans="3:28" ht="12.75" customHeight="1"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 spans="3:28" ht="12.75" customHeight="1"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 spans="3:28" ht="12.75" customHeight="1"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 spans="3:28" ht="12.75" customHeight="1"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 spans="3:28" ht="12.75" customHeight="1"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 spans="3:28" ht="12.75" customHeight="1"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 spans="3:28" ht="12.75" customHeight="1"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 spans="3:28" ht="12.75" customHeight="1"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 spans="3:28" ht="12.75" customHeight="1"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 spans="3:28" ht="12.75" customHeight="1"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 spans="3:28" ht="12.75" customHeight="1"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 spans="3:28" ht="12.75" customHeight="1"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 spans="3:28" ht="12.75" customHeight="1"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 spans="3:28" ht="12.75" customHeight="1"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 spans="3:28" ht="12.75" customHeight="1"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 spans="3:28" ht="12.75" customHeight="1"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 spans="3:28" ht="12.75" customHeight="1"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 spans="3:28" ht="12.75" customHeight="1"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 spans="3:28" ht="12.75" customHeight="1"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 spans="3:28" ht="12.75" customHeight="1"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 spans="3:28" ht="12.75" customHeight="1"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 spans="3:28" ht="12.75" customHeight="1"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 spans="3:28" ht="12.75" customHeight="1"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 spans="3:28" ht="12.75" customHeight="1"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 spans="3:28" ht="12.75" customHeight="1"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 spans="3:28" ht="12.75" customHeight="1"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 spans="3:28" ht="12.75" customHeight="1"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 spans="3:28" ht="12.75" customHeight="1"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 spans="3:28" ht="12.75" customHeight="1"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 spans="3:28" ht="12.75" customHeight="1"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 spans="3:28" ht="12.75" customHeight="1"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 spans="3:28" ht="12.75" customHeight="1"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 spans="3:28" ht="12.75" customHeight="1"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 spans="3:28" ht="12.75" customHeight="1"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 spans="3:28" ht="12.75" customHeight="1"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 spans="3:28" ht="12.75" customHeight="1"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 spans="3:28" ht="12.75" customHeight="1"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 spans="3:28" ht="12.75" customHeight="1"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 spans="3:28" ht="12.75" customHeight="1"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 spans="3:28" ht="12.75" customHeight="1"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 spans="3:28" ht="12.75" customHeight="1"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 spans="3:28" ht="12.75" customHeight="1"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 spans="3:28" ht="12.75" customHeight="1"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 spans="3:28" ht="12.75" customHeight="1"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 spans="3:28" ht="12.75" customHeight="1"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 spans="3:28" ht="12.75" customHeight="1"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 spans="3:28" ht="12.75" customHeight="1"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 spans="3:28" ht="12.75" customHeight="1"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 spans="3:28" ht="12.75" customHeight="1"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 spans="3:28" ht="12.75" customHeight="1"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 spans="3:28" ht="12.75" customHeight="1"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 spans="3:28" ht="12.75" customHeight="1"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 spans="3:28" ht="12.75" customHeight="1"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 spans="3:28" ht="12.75" customHeight="1"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 spans="3:28" ht="12.75" customHeight="1"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 spans="3:28" ht="12.75" customHeight="1"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 spans="3:28" ht="12.75" customHeight="1"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 spans="3:28" ht="12.75" customHeight="1"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 spans="3:28" ht="12.75" customHeight="1"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 spans="3:28" ht="12.75" customHeight="1"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 spans="3:28" ht="12.75" customHeight="1"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 spans="3:28" ht="12.75" customHeight="1"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 spans="3:28" ht="12.75" customHeight="1"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 spans="3:28" ht="12.75" customHeight="1"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 spans="3:28" ht="12.75" customHeight="1"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3:28" ht="12.75" customHeight="1"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 spans="3:28" ht="12.75" customHeight="1"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 spans="3:28" ht="12.75" customHeight="1"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 spans="3:28" ht="12.75" customHeight="1"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 spans="3:28" ht="12.75" customHeight="1"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 spans="3:28" ht="12.75" customHeight="1"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 spans="3:28" ht="12.75" customHeight="1"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 spans="3:28" ht="12.75" customHeight="1"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 spans="3:28" ht="12.75" customHeight="1"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 spans="3:28" ht="12.75" customHeight="1"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 spans="3:28" ht="12.75" customHeight="1"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 spans="3:28" ht="12.75" customHeight="1"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 spans="3:28" ht="12.75" customHeight="1"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 spans="3:28" ht="12.75" customHeight="1"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 spans="3:28" ht="12.75" customHeight="1"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 spans="3:28" ht="12.75" customHeight="1"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 spans="3:28" ht="12.75" customHeight="1"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 spans="3:28" ht="12.75" customHeight="1"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 spans="3:28" ht="12.75" customHeight="1"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 spans="3:28" ht="12.75" customHeight="1"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 spans="3:28" ht="12.75" customHeight="1"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 spans="3:28" ht="12.75" customHeight="1"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 spans="3:28" ht="12.75" customHeight="1"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 spans="3:28" ht="12.75" customHeight="1"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 spans="3:28" ht="12.75" customHeight="1"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 spans="3:28" ht="12.75" customHeight="1"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 spans="3:28" ht="12.75" customHeight="1"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 spans="3:28" ht="12.75" customHeight="1"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 spans="3:28" ht="12.75" customHeight="1"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3:28" ht="12.75" customHeight="1"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 spans="3:28" ht="12.75" customHeight="1"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 spans="3:28" ht="12.75" customHeight="1"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 spans="3:28" ht="12.75" customHeight="1"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 spans="3:28" ht="12.75" customHeight="1"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 spans="3:28" ht="12.75" customHeight="1"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 spans="3:28" ht="12.75" customHeight="1"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 spans="3:28" ht="12.75" customHeight="1">
      <c r="C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 spans="3:28" ht="12.75" customHeight="1">
      <c r="C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 spans="3:28" ht="12.75" customHeight="1">
      <c r="C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 spans="3:28" ht="12.75" customHeight="1">
      <c r="C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 spans="3:28" ht="12.75" customHeight="1">
      <c r="C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 spans="3:28" ht="12.75" customHeight="1">
      <c r="C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 spans="3:28" ht="12.75" customHeight="1">
      <c r="C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 spans="3:28" ht="12.75" customHeight="1">
      <c r="C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 spans="3:28" ht="12.75" customHeight="1">
      <c r="C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 spans="3:28" ht="12.75" customHeight="1">
      <c r="C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 spans="3:28" ht="12.75" customHeight="1">
      <c r="C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 spans="3:28" ht="12.75" customHeight="1">
      <c r="C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 spans="3:28" ht="12.75" customHeight="1">
      <c r="C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 spans="3:28" ht="12.75" customHeight="1">
      <c r="C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 spans="3:28" ht="12.75" customHeight="1">
      <c r="C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 spans="3:28" ht="12.75" customHeight="1">
      <c r="C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 spans="3:28" ht="12.75" customHeight="1">
      <c r="C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 spans="3:28" ht="12.75" customHeight="1">
      <c r="C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 spans="3:28" ht="12.75" customHeight="1">
      <c r="C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 spans="3:28" ht="12.75" customHeight="1">
      <c r="C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 spans="3:28" ht="12.75" customHeight="1">
      <c r="C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 spans="3:28" ht="12.75" customHeight="1">
      <c r="C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 spans="3:28" ht="12.75" customHeight="1">
      <c r="C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 spans="3:28" ht="12.75" customHeight="1">
      <c r="C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 spans="3:28" ht="12.75" customHeight="1">
      <c r="C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 spans="3:28" ht="12.75" customHeight="1">
      <c r="C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 spans="3:28" ht="12.75" customHeight="1">
      <c r="C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 spans="3:28" ht="12.75" customHeight="1">
      <c r="C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 spans="3:28" ht="12.75" customHeight="1">
      <c r="C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 spans="3:28" ht="12.75" customHeight="1">
      <c r="C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 spans="3:28" ht="12.75" customHeight="1">
      <c r="C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 spans="3:28" ht="12.75" customHeight="1">
      <c r="C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 spans="3:28" ht="12.75" customHeight="1">
      <c r="C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 spans="3:28" ht="12.75" customHeight="1">
      <c r="C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 spans="3:28" ht="12.75" customHeight="1">
      <c r="C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 spans="3:28" ht="12.75" customHeight="1">
      <c r="C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 spans="3:28" ht="12.75" customHeight="1">
      <c r="C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 spans="3:28" ht="12.75" customHeight="1">
      <c r="C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 spans="3:28" ht="12.75" customHeight="1">
      <c r="C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 spans="3:28" ht="12.75" customHeight="1">
      <c r="C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 spans="3:28" ht="12.75" customHeight="1">
      <c r="C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 spans="3:28" ht="12.75" customHeight="1">
      <c r="C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 spans="3:28" ht="12.75" customHeight="1">
      <c r="C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 spans="3:28" ht="12.75" customHeight="1">
      <c r="C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 spans="3:28" ht="12.75" customHeight="1">
      <c r="C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 spans="3:28" ht="12.75" customHeight="1">
      <c r="C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 spans="3:28" ht="12.75" customHeight="1"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 spans="3:28" ht="12.75" customHeight="1"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 spans="3:28" ht="12.75" customHeight="1"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 spans="3:28" ht="12.75" customHeight="1"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 spans="3:28" ht="12.75" customHeight="1"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 spans="3:28" ht="12.75" customHeight="1"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 spans="3:28" ht="12.75" customHeight="1"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 spans="3:28" ht="12.75" customHeight="1"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 spans="7:28" ht="12.75" customHeight="1"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 spans="7:28" ht="12.75" customHeight="1"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 spans="7:28" ht="12.75" customHeight="1"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 spans="7:28" ht="12.75" customHeight="1"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 spans="7:28" ht="12.75" customHeight="1"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 spans="7:28" ht="12.75" customHeight="1"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 spans="7:28" ht="12.75" customHeight="1"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 spans="7:28" ht="12.75" customHeight="1"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 spans="7:28" ht="12.75" customHeight="1"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 spans="7:28" ht="12.75" customHeight="1"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 spans="7:28" ht="12.75" customHeight="1"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 spans="7:28" ht="12.75" customHeight="1"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 spans="7:28" ht="12.75" customHeight="1"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 spans="7:28" ht="12.75" customHeight="1"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 spans="7:28" ht="12.75" customHeight="1"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 spans="7:28" ht="12.75" customHeight="1"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 spans="7:28" ht="12.75" customHeight="1"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 spans="7:28" ht="12.75" customHeight="1"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 spans="7:28" ht="12.75" customHeight="1"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 spans="7:28" ht="12.75" customHeight="1"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 spans="7:28" ht="12.75" customHeight="1"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 spans="7:28" ht="12.75" customHeight="1"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 spans="7:28" ht="12.75" customHeight="1"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 spans="7:28" ht="12.75" customHeight="1"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 spans="7:28" ht="12.75" customHeight="1"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 spans="7:28" ht="12.75" customHeight="1"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 spans="7:28" ht="12.75" customHeight="1"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 spans="7:28" ht="12.75" customHeight="1"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 spans="7:28" ht="12.75" customHeight="1"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 spans="7:28" ht="12.75" customHeight="1"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 spans="7:28" ht="12.75" customHeight="1"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 spans="7:28" ht="12.75" customHeight="1"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 spans="7:28" ht="12.75" customHeight="1"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 spans="7:28" ht="12.75" customHeight="1"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 spans="7:28" ht="12.75" customHeight="1"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 spans="7:28" ht="12.75" customHeight="1"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 spans="7:28" ht="12.75" customHeight="1"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 spans="7:28" ht="12.75" customHeight="1"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 spans="7:28" ht="12.75" customHeight="1"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 spans="7:28" ht="12.75" customHeight="1"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 spans="7:28" ht="12.75" customHeight="1"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 spans="7:28" ht="12.75" customHeight="1"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 spans="7:28" ht="12.75" customHeight="1"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 spans="7:28" ht="12.75" customHeight="1"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 spans="7:28" ht="12.75" customHeight="1"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 spans="7:28" ht="12.75" customHeight="1"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 spans="7:28" ht="12.75" customHeight="1"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 spans="7:28" ht="12.75" customHeight="1"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 spans="7:28" ht="12.75" customHeight="1"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 spans="7:28" ht="12.75" customHeight="1"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 spans="7:28" ht="12.75" customHeight="1"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 spans="7:28" ht="12.75" customHeight="1"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 spans="7:28" ht="12.75" customHeight="1"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 spans="7:28" ht="12.75" customHeight="1"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 spans="7:28" ht="12.75" customHeight="1"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 spans="7:28" ht="12.75" customHeight="1"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 spans="7:28" ht="12.75" customHeight="1"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 spans="7:28" ht="12.75" customHeight="1"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 spans="7:28" ht="12.75" customHeight="1"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 spans="7:28" ht="12.75" customHeight="1"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 spans="7:28" ht="12.75" customHeight="1"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 spans="7:28" ht="12.75" customHeight="1"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 spans="7:28" ht="12.75" customHeight="1"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 spans="7:28" ht="12.75" customHeight="1"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 spans="7:28" ht="12.75" customHeight="1"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 spans="7:28" ht="12.75" customHeight="1"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 spans="7:28" ht="12.75" customHeight="1"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 spans="7:28" ht="12.75" customHeight="1"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 spans="7:28" ht="12.75" customHeight="1"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 spans="7:28" ht="12.75" customHeight="1"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 spans="7:28" ht="12.75" customHeight="1"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 spans="7:28" ht="12.75" customHeight="1"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 spans="7:28" ht="12.75" customHeight="1"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 spans="7:28" ht="12.75" customHeight="1"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 spans="7:28" ht="12.75" customHeight="1"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 spans="7:28" ht="12.75" customHeight="1"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 spans="7:28" ht="12.75" customHeight="1"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 spans="7:28" ht="12.75" customHeight="1"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 spans="7:28" ht="12.75" customHeight="1"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 spans="7:28" ht="12.75" customHeight="1"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 spans="7:28" ht="12.75" customHeight="1"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 spans="7:28" ht="12.75" customHeight="1"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 spans="7:28" ht="12.75" customHeight="1"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 spans="7:28" ht="12.75" customHeight="1"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 spans="7:28" ht="12.75" customHeight="1"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 spans="7:28" ht="12.75" customHeight="1"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 spans="7:28" ht="12.75" customHeight="1"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 spans="7:28" ht="12.75" customHeight="1"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 spans="7:28" ht="12.75" customHeight="1"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  <row r="1002" spans="7:28" ht="12.75" customHeight="1"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</row>
    <row r="1003" spans="7:28" ht="12.75" customHeight="1"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</row>
    <row r="1004" spans="7:28" ht="12.75" customHeight="1"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</row>
    <row r="1005" spans="7:28" ht="12.75" customHeight="1"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</row>
    <row r="1006" spans="7:28" ht="12.75" customHeight="1"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</row>
    <row r="1007" spans="7:28" ht="12.75" customHeight="1"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</row>
    <row r="1008" spans="7:28" ht="12.75" customHeight="1"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</row>
    <row r="1009" spans="7:28" ht="12.75" customHeight="1"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</row>
    <row r="1010" spans="7:28" ht="12.75" customHeight="1"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</row>
    <row r="1011" spans="7:28" ht="12.75" customHeight="1"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</row>
    <row r="1012" spans="7:28" ht="12.75" customHeight="1"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</row>
    <row r="1013" spans="7:28" ht="12.75" customHeight="1"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</row>
    <row r="1014" spans="7:28" ht="12.75" customHeight="1"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</row>
    <row r="1015" spans="7:28" ht="12.75" customHeight="1"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</row>
    <row r="1016" spans="7:28" ht="12.75" customHeight="1"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</row>
    <row r="1017" spans="7:28" ht="12.75" customHeight="1"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</row>
    <row r="1018" spans="7:28" ht="12.75" customHeight="1"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</row>
    <row r="1019" spans="7:28" ht="12.75" customHeight="1"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</row>
    <row r="1020" spans="7:28" ht="12.75" customHeight="1"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</row>
    <row r="1021" spans="7:28" ht="12.75" customHeight="1"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</row>
    <row r="1022" spans="7:28" ht="12.75" customHeight="1"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</row>
    <row r="1023" spans="7:28" ht="12.75" customHeight="1"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</row>
    <row r="1024" spans="7:28" ht="12.75" customHeight="1"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</row>
    <row r="1025" spans="7:28" ht="12.75" customHeight="1"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</row>
    <row r="1026" spans="7:28" ht="12.75" customHeight="1"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</row>
    <row r="1027" spans="7:28" ht="12.75" customHeight="1"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</row>
    <row r="1028" spans="7:28" ht="12.75" customHeight="1"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</row>
    <row r="1029" spans="7:28" ht="12.75" customHeight="1"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</row>
    <row r="1030" spans="7:28" ht="12.75" customHeight="1"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</row>
    <row r="1031" spans="7:28" ht="12.75" customHeight="1"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</row>
    <row r="1032" spans="7:28" ht="12.75" customHeight="1"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</row>
    <row r="1033" spans="7:28" ht="12.75" customHeight="1"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</row>
    <row r="1034" spans="7:28" ht="12.75" customHeight="1"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</row>
    <row r="1035" spans="7:28" ht="12.75" customHeight="1"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</row>
    <row r="1036" spans="7:28" ht="12.75" customHeight="1"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</row>
    <row r="1037" spans="7:28" ht="12.75" customHeight="1"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</row>
    <row r="1038" spans="7:28" ht="12.75" customHeight="1"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</row>
    <row r="1039" spans="7:28" ht="12.75" customHeight="1"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</row>
    <row r="1040" spans="7:28" ht="12.75" customHeight="1"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7:28" ht="12.75" customHeight="1"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</row>
    <row r="1042" spans="7:28" ht="12.75" customHeight="1"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</row>
    <row r="1043" spans="7:28" ht="12.75" customHeight="1"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</row>
    <row r="1044" spans="7:28" ht="12.75" customHeight="1"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</row>
    <row r="1045" spans="7:28" ht="12.75" customHeight="1"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</row>
    <row r="1046" spans="7:28" ht="12.75" customHeight="1"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</row>
    <row r="1047" spans="7:28" ht="12.75" customHeight="1"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</row>
    <row r="1048" spans="7:28" ht="12.75" customHeight="1"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</row>
    <row r="1049" spans="7:28" ht="12.75" customHeight="1"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</row>
    <row r="1050" spans="7:28" ht="12.75" customHeight="1"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</row>
    <row r="1051" spans="7:28" ht="12.75" customHeight="1"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</row>
    <row r="1052" spans="7:28" ht="12.75" customHeight="1"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</row>
    <row r="1053" spans="7:28" ht="12.75" customHeight="1"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</row>
    <row r="1054" spans="7:28" ht="12.75" customHeight="1"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</row>
    <row r="1055" spans="7:28" ht="12.75" customHeight="1"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</row>
    <row r="1056" spans="7:28" ht="12.75" customHeight="1"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</row>
    <row r="1057" spans="7:28" ht="12.75" customHeight="1"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</row>
    <row r="1058" spans="7:28" ht="12.75" customHeight="1"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</row>
    <row r="1059" spans="7:28" ht="12.75" customHeight="1"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</row>
    <row r="1060" spans="7:28" ht="12.75" customHeight="1"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</row>
    <row r="1061" spans="7:28" ht="12.75" customHeight="1"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</row>
    <row r="1062" spans="7:28" ht="12.75" customHeight="1"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</row>
    <row r="1063" spans="7:28" ht="12.75" customHeight="1"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</row>
    <row r="1064" spans="7:28" ht="12.75" customHeight="1"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</row>
    <row r="1065" spans="7:28" ht="12.75" customHeight="1"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</row>
    <row r="1066" spans="7:28" ht="12.75" customHeight="1"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</row>
    <row r="1067" spans="7:28" ht="12.75" customHeight="1"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</row>
    <row r="1068" spans="7:28" ht="12.75" customHeight="1"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</row>
    <row r="1069" spans="7:28" ht="12.75" customHeight="1"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</row>
    <row r="1070" spans="7:28" ht="12.75" customHeight="1"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</row>
    <row r="1071" spans="7:28" ht="12.75" customHeight="1"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</row>
    <row r="1072" spans="7:28" ht="12.75" customHeight="1"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</row>
    <row r="1073" spans="7:28" ht="12.75" customHeight="1"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</row>
    <row r="1074" spans="7:28" ht="12.75" customHeight="1"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</row>
    <row r="1075" spans="7:28" ht="12.75" customHeight="1"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</row>
    <row r="1076" spans="7:28" ht="12.75" customHeight="1"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</row>
    <row r="1077" spans="7:28" ht="12.75" customHeight="1"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</row>
    <row r="1078" spans="7:28" ht="12.75" customHeight="1"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</row>
    <row r="1079" spans="7:28" ht="12.75" customHeight="1"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</row>
    <row r="1080" spans="7:28" ht="12.75" customHeight="1"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</row>
    <row r="1081" spans="7:28" ht="12.75" customHeight="1"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</row>
    <row r="1082" spans="7:28" ht="12.75" customHeight="1"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</row>
    <row r="1083" spans="7:28" ht="12.75" customHeight="1"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</row>
    <row r="1084" spans="7:28" ht="12.75" customHeight="1"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</row>
    <row r="1085" spans="7:28" ht="12.75" customHeight="1"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</row>
    <row r="1086" spans="7:28" ht="12.75" customHeight="1"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</row>
    <row r="1087" spans="7:28" ht="12.75" customHeight="1"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</row>
    <row r="1088" spans="7:28" ht="12.75" customHeight="1"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</row>
    <row r="1089" spans="7:28" ht="12.75" customHeight="1"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</row>
    <row r="1090" spans="7:28" ht="12.75" customHeight="1"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</row>
    <row r="1091" spans="7:28" ht="12.75" customHeight="1"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</row>
    <row r="1092" spans="7:28" ht="12.75" customHeight="1"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</row>
    <row r="1093" spans="7:28" ht="12.75" customHeight="1"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0"/>
  <sheetViews>
    <sheetView workbookViewId="0"/>
  </sheetViews>
  <sheetFormatPr defaultColWidth="12.5546875" defaultRowHeight="15" customHeight="1"/>
  <cols>
    <col min="1" max="1" width="14.33203125" customWidth="1"/>
    <col min="2" max="2" width="14.44140625" customWidth="1"/>
    <col min="3" max="3" width="15.6640625" customWidth="1"/>
    <col min="4" max="5" width="16.44140625" customWidth="1"/>
  </cols>
  <sheetData>
    <row r="1" spans="1:13" ht="15" customHeight="1">
      <c r="A1" s="37" t="s">
        <v>227</v>
      </c>
      <c r="B1" s="37" t="s">
        <v>228</v>
      </c>
      <c r="C1" s="37" t="s">
        <v>229</v>
      </c>
      <c r="D1" s="37" t="s">
        <v>230</v>
      </c>
      <c r="E1" s="37" t="s">
        <v>231</v>
      </c>
      <c r="F1" s="37" t="s">
        <v>232</v>
      </c>
      <c r="G1" s="37" t="s">
        <v>233</v>
      </c>
      <c r="H1" s="37" t="s">
        <v>234</v>
      </c>
      <c r="I1" s="37" t="s">
        <v>235</v>
      </c>
      <c r="J1" s="37" t="s">
        <v>236</v>
      </c>
      <c r="K1" s="37" t="s">
        <v>237</v>
      </c>
      <c r="L1" s="37" t="s">
        <v>238</v>
      </c>
      <c r="M1" s="37" t="s">
        <v>239</v>
      </c>
    </row>
    <row r="2" spans="1:13" ht="15" customHeight="1">
      <c r="A2" s="37" t="s">
        <v>240</v>
      </c>
      <c r="B2" s="37" t="s">
        <v>240</v>
      </c>
      <c r="C2" s="37" t="s">
        <v>241</v>
      </c>
      <c r="D2" s="37" t="s">
        <v>240</v>
      </c>
      <c r="E2" s="37" t="s">
        <v>240</v>
      </c>
      <c r="F2" s="37" t="s">
        <v>242</v>
      </c>
      <c r="G2" s="37" t="s">
        <v>242</v>
      </c>
      <c r="H2" s="37" t="s">
        <v>242</v>
      </c>
      <c r="I2" s="37" t="s">
        <v>243</v>
      </c>
      <c r="J2" s="37" t="s">
        <v>244</v>
      </c>
      <c r="K2" s="37" t="s">
        <v>244</v>
      </c>
      <c r="M2" s="37" t="s">
        <v>245</v>
      </c>
    </row>
    <row r="3" spans="1:13" ht="15" customHeight="1">
      <c r="A3" s="37" t="s">
        <v>246</v>
      </c>
      <c r="B3" s="37" t="s">
        <v>246</v>
      </c>
      <c r="C3" s="37" t="s">
        <v>247</v>
      </c>
      <c r="D3" s="37" t="s">
        <v>246</v>
      </c>
      <c r="E3" s="37" t="s">
        <v>246</v>
      </c>
      <c r="F3" s="37" t="s">
        <v>248</v>
      </c>
      <c r="G3" s="37" t="s">
        <v>248</v>
      </c>
      <c r="H3" s="37" t="s">
        <v>248</v>
      </c>
      <c r="I3" s="37" t="s">
        <v>249</v>
      </c>
      <c r="J3" s="37" t="s">
        <v>250</v>
      </c>
    </row>
    <row r="4" spans="1:13" ht="15" customHeight="1">
      <c r="A4" s="37" t="s">
        <v>251</v>
      </c>
      <c r="B4" s="37" t="s">
        <v>251</v>
      </c>
      <c r="C4" s="37" t="s">
        <v>252</v>
      </c>
      <c r="D4" s="37" t="s">
        <v>251</v>
      </c>
      <c r="E4" s="37" t="s">
        <v>251</v>
      </c>
      <c r="F4" s="37" t="s">
        <v>253</v>
      </c>
      <c r="G4" s="37" t="s">
        <v>253</v>
      </c>
      <c r="H4" s="37" t="s">
        <v>253</v>
      </c>
      <c r="I4" s="37" t="s">
        <v>254</v>
      </c>
    </row>
    <row r="5" spans="1:13" ht="15" customHeight="1">
      <c r="A5" s="37" t="s">
        <v>255</v>
      </c>
      <c r="B5" s="37" t="s">
        <v>255</v>
      </c>
      <c r="D5" s="37" t="s">
        <v>255</v>
      </c>
      <c r="E5" s="37" t="s">
        <v>255</v>
      </c>
      <c r="F5" s="37" t="s">
        <v>256</v>
      </c>
      <c r="G5" s="37" t="s">
        <v>256</v>
      </c>
      <c r="H5" s="37" t="s">
        <v>256</v>
      </c>
      <c r="I5" s="37" t="s">
        <v>257</v>
      </c>
    </row>
    <row r="6" spans="1:13" ht="15" customHeight="1">
      <c r="F6" s="37" t="s">
        <v>258</v>
      </c>
      <c r="G6" s="37" t="s">
        <v>258</v>
      </c>
      <c r="H6" s="37" t="s">
        <v>258</v>
      </c>
      <c r="I6" s="37" t="s">
        <v>259</v>
      </c>
    </row>
    <row r="7" spans="1:13" ht="15" customHeight="1">
      <c r="F7" s="37" t="s">
        <v>260</v>
      </c>
      <c r="G7" s="37" t="s">
        <v>260</v>
      </c>
      <c r="H7" s="37" t="s">
        <v>260</v>
      </c>
      <c r="I7" s="37" t="s">
        <v>245</v>
      </c>
    </row>
    <row r="8" spans="1:13" ht="15" customHeight="1">
      <c r="I8" s="37" t="s">
        <v>250</v>
      </c>
    </row>
    <row r="20" spans="7:13" ht="15" customHeight="1">
      <c r="G20" s="39" t="b">
        <f t="array" aca="1" ref="G20" ca="1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>0</v>
      </c>
      <c r="I20" s="39" t="b">
        <f t="array" aca="1" ref="I20" ca="1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>0</v>
      </c>
      <c r="K20" s="39" t="b">
        <f t="array" aca="1" ref="K20" ca="1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>0</v>
      </c>
      <c r="L20" s="39" t="b">
        <f t="array" aca="1" ref="L20" ca="1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>0</v>
      </c>
      <c r="M20" s="39" t="b">
        <f t="array" aca="1" ref="M20" ca="1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>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"/>
  <sheetViews>
    <sheetView workbookViewId="0"/>
  </sheetViews>
  <sheetFormatPr defaultColWidth="12.5546875" defaultRowHeight="15" customHeight="1"/>
  <cols>
    <col min="1" max="1" width="30.44140625" customWidth="1"/>
  </cols>
  <sheetData>
    <row r="1" spans="1:4" ht="15" customHeight="1">
      <c r="A1" s="37" t="s">
        <v>261</v>
      </c>
      <c r="B1" s="37" t="s">
        <v>262</v>
      </c>
      <c r="C1" s="37" t="s">
        <v>263</v>
      </c>
      <c r="D1" s="37" t="s">
        <v>264</v>
      </c>
    </row>
    <row r="2" spans="1:4" ht="15" customHeight="1">
      <c r="A2" s="37" t="s">
        <v>265</v>
      </c>
      <c r="B2" s="37" t="s">
        <v>266</v>
      </c>
      <c r="C2" s="40">
        <f>Timesheet!D2</f>
        <v>0</v>
      </c>
      <c r="D2" t="b">
        <f>Timesheet!B74</f>
        <v>0</v>
      </c>
    </row>
    <row r="3" spans="1:4" ht="15" customHeight="1">
      <c r="A3" s="37" t="s">
        <v>267</v>
      </c>
      <c r="B3" s="37" t="s">
        <v>268</v>
      </c>
      <c r="C3" s="40">
        <f>Timesheet!D2</f>
        <v>0</v>
      </c>
      <c r="D3" t="b">
        <f>Timesheet!B74</f>
        <v>0</v>
      </c>
    </row>
    <row r="4" spans="1:4" ht="15" customHeight="1">
      <c r="A4" s="37" t="s">
        <v>269</v>
      </c>
      <c r="B4" s="37" t="s">
        <v>270</v>
      </c>
      <c r="C4" s="40">
        <f>Timesheet!D2</f>
        <v>0</v>
      </c>
      <c r="D4" t="b">
        <f>Timesheet!B74</f>
        <v>0</v>
      </c>
    </row>
    <row r="5" spans="1:4" ht="15" customHeight="1">
      <c r="A5" s="37" t="s">
        <v>271</v>
      </c>
      <c r="B5" s="37" t="s">
        <v>272</v>
      </c>
      <c r="C5" s="40">
        <f>Timesheet!D2</f>
        <v>0</v>
      </c>
      <c r="D5" t="b">
        <f>Timesheet!B74</f>
        <v>0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"/>
  <sheetViews>
    <sheetView workbookViewId="0"/>
  </sheetViews>
  <sheetFormatPr defaultColWidth="12.5546875" defaultRowHeight="15" customHeight="1"/>
  <cols>
    <col min="1" max="1" width="32.6640625" customWidth="1"/>
  </cols>
  <sheetData>
    <row r="1" spans="1:5" ht="15" customHeight="1">
      <c r="A1" s="37" t="s">
        <v>261</v>
      </c>
      <c r="B1" s="37" t="s">
        <v>262</v>
      </c>
      <c r="C1" s="37" t="s">
        <v>263</v>
      </c>
      <c r="D1" s="37" t="s">
        <v>264</v>
      </c>
      <c r="E1" s="37" t="s">
        <v>273</v>
      </c>
    </row>
    <row r="2" spans="1:5" ht="15" customHeight="1">
      <c r="A2" s="37" t="s">
        <v>274</v>
      </c>
      <c r="B2" s="37" t="s">
        <v>275</v>
      </c>
      <c r="C2" s="40">
        <f>Timesheet!D2</f>
        <v>0</v>
      </c>
      <c r="D2" t="b">
        <f>Timesheet!B74</f>
        <v>0</v>
      </c>
      <c r="E2" t="str">
        <f>Timesheet!Q6</f>
        <v>jsoe123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"/>
  <sheetViews>
    <sheetView workbookViewId="0"/>
  </sheetViews>
  <sheetFormatPr defaultColWidth="12.5546875" defaultRowHeight="15" customHeight="1"/>
  <cols>
    <col min="1" max="1" width="85.88671875" customWidth="1"/>
  </cols>
  <sheetData>
    <row r="1" spans="1:1" ht="15" customHeight="1">
      <c r="A1" s="37" t="s">
        <v>276</v>
      </c>
    </row>
    <row r="2" spans="1:1" ht="15" customHeight="1">
      <c r="A2" s="37" t="s">
        <v>277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</vt:i4>
      </vt:variant>
    </vt:vector>
  </HeadingPairs>
  <TitlesOfParts>
    <vt:vector size="50" baseType="lpstr">
      <vt:lpstr>Timesheet</vt:lpstr>
      <vt:lpstr>Data Sent</vt:lpstr>
      <vt:lpstr>Employee Numbers</vt:lpstr>
      <vt:lpstr>NVScriptsProperties</vt:lpstr>
      <vt:lpstr>Data Valid.</vt:lpstr>
      <vt:lpstr>W. Performed</vt:lpstr>
      <vt:lpstr>Complete Emails</vt:lpstr>
      <vt:lpstr>Approved Emails</vt:lpstr>
      <vt:lpstr>Template</vt:lpstr>
      <vt:lpstr>Admin</vt:lpstr>
      <vt:lpstr>Aggregate</vt:lpstr>
      <vt:lpstr>CD_Thomas</vt:lpstr>
      <vt:lpstr>DC_Materials</vt:lpstr>
      <vt:lpstr>Job_1250</vt:lpstr>
      <vt:lpstr>Job_1292</vt:lpstr>
      <vt:lpstr>Job_1304</vt:lpstr>
      <vt:lpstr>Job_1312</vt:lpstr>
      <vt:lpstr>Job_1318</vt:lpstr>
      <vt:lpstr>Job_1336</vt:lpstr>
      <vt:lpstr>Job_1343</vt:lpstr>
      <vt:lpstr>Job_1344</vt:lpstr>
      <vt:lpstr>Job_1349</vt:lpstr>
      <vt:lpstr>Job_1353</vt:lpstr>
      <vt:lpstr>Job_1356</vt:lpstr>
      <vt:lpstr>Job_1357</vt:lpstr>
      <vt:lpstr>Job_1362</vt:lpstr>
      <vt:lpstr>Job_1363</vt:lpstr>
      <vt:lpstr>Job_1364</vt:lpstr>
      <vt:lpstr>Job_1368</vt:lpstr>
      <vt:lpstr>Job_1369</vt:lpstr>
      <vt:lpstr>Job_1370</vt:lpstr>
      <vt:lpstr>Job_1371</vt:lpstr>
      <vt:lpstr>Job_1372</vt:lpstr>
      <vt:lpstr>Job_1378</vt:lpstr>
      <vt:lpstr>Job_1379</vt:lpstr>
      <vt:lpstr>Job_1381</vt:lpstr>
      <vt:lpstr>Job_1382</vt:lpstr>
      <vt:lpstr>Job_1383</vt:lpstr>
      <vt:lpstr>Job_1386</vt:lpstr>
      <vt:lpstr>Job_99</vt:lpstr>
      <vt:lpstr>LaFarge</vt:lpstr>
      <vt:lpstr>M_Luis_Products</vt:lpstr>
      <vt:lpstr>Martin_Marietta</vt:lpstr>
      <vt:lpstr>MD_Paving</vt:lpstr>
      <vt:lpstr>People_Ready</vt:lpstr>
      <vt:lpstr>Pleasants</vt:lpstr>
      <vt:lpstr>Rowen</vt:lpstr>
      <vt:lpstr>Schuster_Baltimore</vt:lpstr>
      <vt:lpstr>Schuster_Rockville</vt:lpstr>
      <vt:lpstr>Vulcan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DEEKSHITHA JAGADEESH</cp:lastModifiedBy>
  <dcterms:created xsi:type="dcterms:W3CDTF">2025-07-25T09:31:58Z</dcterms:created>
  <dcterms:modified xsi:type="dcterms:W3CDTF">2025-12-18T10:35:34Z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0x0101009E4E4AEB72E47A4697AB034BB4813EBF</vt:lpwstr>
  </property>
  <property fmtid="{D5CDD505-2E9C-101B-9397-08002B2CF9AE}" pid="3" name="MediaServiceImageTags">
    <vt:lpwstr/>
  </property>
</Properties>
</file>