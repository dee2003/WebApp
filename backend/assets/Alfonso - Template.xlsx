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xr:revisionPtr revIDLastSave="1" documentId="11_4F90841667232450C25E8038A20948D41291E588" xr6:coauthVersionLast="47" xr6:coauthVersionMax="47" xr10:uidLastSave="{C82B5429-F1E7-44EC-A04A-ECFA82FE3031}"/>
  <bookViews>
    <workbookView xWindow="0" yWindow="0" windowWidth="0" windowHeight="0" xr2:uid="{00000000-000D-0000-FFFF-FFFF00000000}"/>
  </bookViews>
  <sheets>
    <sheet name="Timesheet" sheetId="1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8" l="1"/>
  <c r="D2" i="8"/>
  <c r="C2" i="8"/>
  <c r="D5" i="7"/>
  <c r="C5" i="7"/>
  <c r="D4" i="7"/>
  <c r="C4" i="7"/>
  <c r="D3" i="7"/>
  <c r="C3" i="7"/>
  <c r="D2" i="7"/>
  <c r="C2" i="7"/>
  <c r="M20" i="6" a="1"/>
  <c r="M20" i="6"/>
  <c r="L20" i="6" a="1"/>
  <c r="L20" i="6"/>
  <c r="K20" i="6" a="1"/>
  <c r="K20" i="6"/>
  <c r="I20" i="6" a="1"/>
  <c r="I20" i="6"/>
  <c r="G20" i="6" a="1"/>
  <c r="G20" i="6"/>
  <c r="AE1" i="5" a="1"/>
  <c r="AE1" i="5"/>
  <c r="W64" i="1"/>
  <c r="W63" i="1"/>
  <c r="W62" i="1"/>
  <c r="W60" i="1"/>
  <c r="W59" i="1"/>
  <c r="W58" i="1"/>
  <c r="W57" i="1"/>
  <c r="W56" i="1"/>
  <c r="W55" i="1"/>
  <c r="W53" i="1"/>
  <c r="W52" i="1"/>
  <c r="W51" i="1"/>
  <c r="W50" i="1"/>
  <c r="W49" i="1"/>
  <c r="S47" i="1"/>
  <c r="Q47" i="1"/>
  <c r="O47" i="1"/>
  <c r="M47" i="1"/>
  <c r="K47" i="1"/>
  <c r="I47" i="1"/>
  <c r="G47" i="1"/>
  <c r="W46" i="1"/>
  <c r="W45" i="1"/>
  <c r="W44" i="1"/>
  <c r="W43" i="1"/>
  <c r="W42" i="1"/>
  <c r="W41" i="1"/>
  <c r="W40" i="1"/>
  <c r="W39" i="1"/>
  <c r="W38" i="1"/>
  <c r="U35" i="1"/>
  <c r="S35" i="1"/>
  <c r="Q35" i="1"/>
  <c r="O35" i="1"/>
  <c r="M35" i="1"/>
  <c r="K35" i="1"/>
  <c r="I35" i="1"/>
  <c r="G35" i="1"/>
  <c r="W33" i="1"/>
  <c r="A33" i="1"/>
  <c r="W31" i="1"/>
  <c r="A31" i="1"/>
  <c r="W29" i="1"/>
  <c r="A29" i="1"/>
  <c r="W27" i="1"/>
  <c r="A27" i="1"/>
  <c r="W25" i="1"/>
  <c r="A25" i="1"/>
  <c r="W23" i="1"/>
  <c r="A23" i="1"/>
  <c r="W21" i="1"/>
  <c r="A21" i="1"/>
  <c r="W19" i="1"/>
  <c r="A19" i="1"/>
  <c r="W17" i="1"/>
  <c r="A17" i="1"/>
  <c r="W15" i="1"/>
  <c r="A15" i="1"/>
  <c r="W13" i="1"/>
  <c r="A13" i="1"/>
  <c r="W11" i="1"/>
  <c r="A11" i="1"/>
</calcChain>
</file>

<file path=xl/sharedStrings.xml><?xml version="1.0" encoding="utf-8"?>
<sst xmlns="http://schemas.openxmlformats.org/spreadsheetml/2006/main" count="552" uniqueCount="276">
  <si>
    <t>FOREMAN DAILY TIMESHEET</t>
  </si>
  <si>
    <t>Date:</t>
  </si>
  <si>
    <t>Shift:</t>
  </si>
  <si>
    <t>LUNCH:</t>
  </si>
  <si>
    <t>JOB#:</t>
  </si>
  <si>
    <t>M LUIS CONSTRUCTION COMPANY  12200 PLUM ORCHARD DRIVE, #110, SILVER SPRING, MD  20904</t>
  </si>
  <si>
    <t>TIME OF DAY:</t>
  </si>
  <si>
    <t>WEATHER:</t>
  </si>
  <si>
    <t xml:space="preserve">TEMP:     </t>
  </si>
  <si>
    <t>JOB NAME:</t>
  </si>
  <si>
    <t xml:space="preserve">LOCATION: </t>
  </si>
  <si>
    <t>PE:</t>
  </si>
  <si>
    <r>
      <rPr>
        <b/>
        <sz val="10"/>
        <rFont val="Arial"/>
      </rPr>
      <t xml:space="preserve">FOREMAN: </t>
    </r>
    <r>
      <rPr>
        <b/>
        <sz val="12"/>
        <color rgb="FF0000FF"/>
        <rFont val="Arial"/>
      </rPr>
      <t>ALFONSO</t>
    </r>
  </si>
  <si>
    <t xml:space="preserve">APPROVED BY: </t>
  </si>
  <si>
    <r>
      <rPr>
        <b/>
        <sz val="10"/>
        <rFont val="Arial"/>
      </rPr>
      <t xml:space="preserve">SUPER: </t>
    </r>
    <r>
      <rPr>
        <b/>
        <sz val="12"/>
        <color rgb="FF0000FF"/>
        <rFont val="Arial"/>
      </rPr>
      <t>OSCAR</t>
    </r>
  </si>
  <si>
    <t>EMP #</t>
  </si>
  <si>
    <t>LABOR</t>
  </si>
  <si>
    <t>PHASE #</t>
  </si>
  <si>
    <t>TOTAL</t>
  </si>
  <si>
    <t>EMPLOYEE</t>
  </si>
  <si>
    <t>NAME:</t>
  </si>
  <si>
    <t>First</t>
  </si>
  <si>
    <t>Last</t>
  </si>
  <si>
    <t>CLASS #</t>
  </si>
  <si>
    <t>HOURS</t>
  </si>
  <si>
    <t>Alfonso Muñoz</t>
  </si>
  <si>
    <t>Gabriel Reyes</t>
  </si>
  <si>
    <t>Epifanio Gutierrez</t>
  </si>
  <si>
    <t>Edgar Muñoz-Torres</t>
  </si>
  <si>
    <t>Javier Hugo Mendez</t>
  </si>
  <si>
    <t>Jose Mejia Hernandez</t>
  </si>
  <si>
    <t>Alfredo Perez-Vasquez</t>
  </si>
  <si>
    <t>Fanny Reyes</t>
  </si>
  <si>
    <t>Walter Navas</t>
  </si>
  <si>
    <t xml:space="preserve">Daniel López </t>
  </si>
  <si>
    <t>Walter castañada</t>
  </si>
  <si>
    <t>EQUIPMENT:</t>
  </si>
  <si>
    <t>EQUIP #'ER</t>
  </si>
  <si>
    <t>START HOURS</t>
  </si>
  <si>
    <t>STOP 
HOURS</t>
  </si>
  <si>
    <t>REG.</t>
  </si>
  <si>
    <t>S.B</t>
  </si>
  <si>
    <t xml:space="preserve">Chevy </t>
  </si>
  <si>
    <t>Service Truck</t>
  </si>
  <si>
    <t>Mini Dump</t>
  </si>
  <si>
    <t>Backhoe</t>
  </si>
  <si>
    <t>Rolle</t>
  </si>
  <si>
    <t>WORK PERFORMED</t>
  </si>
  <si>
    <t># of Tickets</t>
  </si>
  <si>
    <t>QUANTITIES PER THE PHASE UNIT (CY, TON, SF, SY, LF, EA, ETC.)</t>
  </si>
  <si>
    <t>MATERIAL AND TRUCKING</t>
  </si>
  <si>
    <t>TOTAL TRUCKING HOURS / TOTAL MATERIAL QTY PER PHASE</t>
  </si>
  <si>
    <t>DUMPING SITE NAME</t>
  </si>
  <si>
    <t># OF LOADS</t>
  </si>
  <si>
    <t xml:space="preserve">QUANTITY PER PHASE </t>
  </si>
  <si>
    <t>(please check when complete)</t>
  </si>
  <si>
    <t>Function</t>
  </si>
  <si>
    <t>Status</t>
  </si>
  <si>
    <t>Logged Superintendent Approval</t>
  </si>
  <si>
    <t>Logged PE Approval</t>
  </si>
  <si>
    <t>Javier Balmes</t>
  </si>
  <si>
    <t>Elmer Flores</t>
  </si>
  <si>
    <t>Jose Luis Herrera</t>
  </si>
  <si>
    <t>Jaime Herrera</t>
  </si>
  <si>
    <t>Narciso Herrera</t>
  </si>
  <si>
    <t>Salvador Pelaez</t>
  </si>
  <si>
    <t>Jose Dimas Delgado</t>
  </si>
  <si>
    <t>Adalberto Labastida</t>
  </si>
  <si>
    <t>Isidro Reyes Ortega</t>
  </si>
  <si>
    <t>Gaudencio Javier Ramirez</t>
  </si>
  <si>
    <t>Jose Mendez</t>
  </si>
  <si>
    <t>Fredy Reyes</t>
  </si>
  <si>
    <t>Victor Alarcon</t>
  </si>
  <si>
    <t>Antonino Balmes</t>
  </si>
  <si>
    <t>Mark Jones</t>
  </si>
  <si>
    <t>Efrain Tapia</t>
  </si>
  <si>
    <t>Jose Peña</t>
  </si>
  <si>
    <t>Jose Garcia Flores</t>
  </si>
  <si>
    <t>Pedro Orellana</t>
  </si>
  <si>
    <t>Juan Vivar Guzmán</t>
  </si>
  <si>
    <t>Lamberto Morales</t>
  </si>
  <si>
    <t>Arturo Tapia</t>
  </si>
  <si>
    <t>Oscar Rendon</t>
  </si>
  <si>
    <t>Nelson Cortez</t>
  </si>
  <si>
    <t>Arsenio Reyes</t>
  </si>
  <si>
    <t>Cesar Martinez</t>
  </si>
  <si>
    <t>Rigoberto Reyes</t>
  </si>
  <si>
    <t>Helmer Bonilla</t>
  </si>
  <si>
    <t>Heriberto Rivera</t>
  </si>
  <si>
    <t>Amado Reyes Jr</t>
  </si>
  <si>
    <t>Jesus Martinez</t>
  </si>
  <si>
    <t>Rene del Cid</t>
  </si>
  <si>
    <t>Omar Jimenez Lazaro</t>
  </si>
  <si>
    <t>Roman Lucero</t>
  </si>
  <si>
    <t>Juan Lopez</t>
  </si>
  <si>
    <t>Carlos Figueroa</t>
  </si>
  <si>
    <t>Cristian Hernandez</t>
  </si>
  <si>
    <t>Walter Tolentino</t>
  </si>
  <si>
    <t>Ermelando Romualdo</t>
  </si>
  <si>
    <t>Lauro Tapia</t>
  </si>
  <si>
    <t>Regulo Martinez</t>
  </si>
  <si>
    <t>German Romualdo</t>
  </si>
  <si>
    <t>Elis Miguel Peña</t>
  </si>
  <si>
    <t>Francisco Reyes</t>
  </si>
  <si>
    <t>Angel Aguilar</t>
  </si>
  <si>
    <t>John Stickles</t>
  </si>
  <si>
    <t>Melinda Brown</t>
  </si>
  <si>
    <t>Bradley Voss</t>
  </si>
  <si>
    <t>Alfred Huggins</t>
  </si>
  <si>
    <t>Jose Luis Vivar</t>
  </si>
  <si>
    <t>Shawn Shorter</t>
  </si>
  <si>
    <t>Rene Pelaez Osorio</t>
  </si>
  <si>
    <t>Maikel Eusebio Zapata</t>
  </si>
  <si>
    <t>Rafael Moreno</t>
  </si>
  <si>
    <t>Luis Osorio Herrera</t>
  </si>
  <si>
    <t>Jose Garcia Perez</t>
  </si>
  <si>
    <t>David Martinez</t>
  </si>
  <si>
    <t>Salvador Hernandez</t>
  </si>
  <si>
    <t>Manuel Peña-Frias</t>
  </si>
  <si>
    <t>Jandel Peña</t>
  </si>
  <si>
    <t>Rene Shombert</t>
  </si>
  <si>
    <t>Fernando Vallejos Rivas</t>
  </si>
  <si>
    <t>Bryan Lopez Santos</t>
  </si>
  <si>
    <t>Santos Vivar Saavedra</t>
  </si>
  <si>
    <t>Reyna Saravia Campos</t>
  </si>
  <si>
    <t>Kenneth Hall</t>
  </si>
  <si>
    <t>David Vivar</t>
  </si>
  <si>
    <t>Kenneth Lorick</t>
  </si>
  <si>
    <t>Jayme Fowler</t>
  </si>
  <si>
    <t>Kevin Lee</t>
  </si>
  <si>
    <t>Robert Horton</t>
  </si>
  <si>
    <t>Christopher Grant</t>
  </si>
  <si>
    <t>William Grier Slaughter</t>
  </si>
  <si>
    <t>Jose Cendejas Silva</t>
  </si>
  <si>
    <t>Roger Canales</t>
  </si>
  <si>
    <t>Howard Beza</t>
  </si>
  <si>
    <t>Alexander Frias Marte</t>
  </si>
  <si>
    <t>Thomas Threatt</t>
  </si>
  <si>
    <t>Fatima Placido</t>
  </si>
  <si>
    <t>Saul Martinez</t>
  </si>
  <si>
    <t>Miriam Herrera Cortes</t>
  </si>
  <si>
    <t>Geremi Vargas Frias</t>
  </si>
  <si>
    <t>Ana Villatoro</t>
  </si>
  <si>
    <t>Christopher Herrera Reyes</t>
  </si>
  <si>
    <t>Miguel Garcia Barrientos</t>
  </si>
  <si>
    <t>Rodrigo Placido-Herrera</t>
  </si>
  <si>
    <t>Alexis Vivar Hernandez</t>
  </si>
  <si>
    <t>Christian Aguilar</t>
  </si>
  <si>
    <t>Rocio Morales Orellana</t>
  </si>
  <si>
    <t>Michael Walters</t>
  </si>
  <si>
    <t>Elia Herrera Gomez</t>
  </si>
  <si>
    <t>Eric Robinson</t>
  </si>
  <si>
    <t>Donald Mills</t>
  </si>
  <si>
    <t>Brandon Contreras</t>
  </si>
  <si>
    <t>Jefferson Zelaya Faro</t>
  </si>
  <si>
    <t>Ana Garcia Torres</t>
  </si>
  <si>
    <t>Maycol Medrano</t>
  </si>
  <si>
    <t>Carlos Reyes Dumois</t>
  </si>
  <si>
    <t>Jose Zelaya Alfaro</t>
  </si>
  <si>
    <t>Donelle Palmer</t>
  </si>
  <si>
    <t>Ramon Calzado</t>
  </si>
  <si>
    <t>Luis Abarca Valenzo</t>
  </si>
  <si>
    <t>Jose Cornejo</t>
  </si>
  <si>
    <t>Christopher Bautista Aguilar</t>
  </si>
  <si>
    <t>Tyler Grimes</t>
  </si>
  <si>
    <t>Brian Bazan-Sanchez</t>
  </si>
  <si>
    <t>Marty Miller</t>
  </si>
  <si>
    <t>Domain McPherson</t>
  </si>
  <si>
    <t>Geryvin Mendez Alvarado</t>
  </si>
  <si>
    <t>William Orellana</t>
  </si>
  <si>
    <t>Angel Romero Reyes</t>
  </si>
  <si>
    <t>Stephen Gingnah</t>
  </si>
  <si>
    <t>Fatima Rodriguez</t>
  </si>
  <si>
    <t>Jewell Braxton</t>
  </si>
  <si>
    <t>Memorio Vivar</t>
  </si>
  <si>
    <t>Daisy Rodriguez</t>
  </si>
  <si>
    <t>Luciano De Miranda</t>
  </si>
  <si>
    <t>autocratn</t>
  </si>
  <si>
    <t>autocratp</t>
  </si>
  <si>
    <t>dataSheetName</t>
  </si>
  <si>
    <t>"Timesheet"</t>
  </si>
  <si>
    <t>v</t>
  </si>
  <si>
    <t>"5.1"</t>
  </si>
  <si>
    <t>dataSheetId</t>
  </si>
  <si>
    <t>"1.320694942E9"</t>
  </si>
  <si>
    <t>updateTime</t>
  </si>
  <si>
    <t>"1.753352423013E12"</t>
  </si>
  <si>
    <t>vp</t>
  </si>
  <si>
    <t>ssId</t>
  </si>
  <si>
    <t>"1AHWElLIpi23Mysmjc_seKEHkBP2oXD37jjJrgjOnU0o"</t>
  </si>
  <si>
    <t>Admin</t>
  </si>
  <si>
    <t>Job_99</t>
  </si>
  <si>
    <t>Job_1250</t>
  </si>
  <si>
    <t>Job_1292</t>
  </si>
  <si>
    <t>Job_1304</t>
  </si>
  <si>
    <t>Job_1312</t>
  </si>
  <si>
    <t>Job_1318</t>
  </si>
  <si>
    <t>Job_1336</t>
  </si>
  <si>
    <t>Job_1343</t>
  </si>
  <si>
    <t>Job_1344</t>
  </si>
  <si>
    <t>Job_1349</t>
  </si>
  <si>
    <t>Job_1353</t>
  </si>
  <si>
    <t>Job_1356</t>
  </si>
  <si>
    <t>Job_1357</t>
  </si>
  <si>
    <t>Job_1362</t>
  </si>
  <si>
    <t>Job_1363</t>
  </si>
  <si>
    <t>Job_1364</t>
  </si>
  <si>
    <t>Job_1368</t>
  </si>
  <si>
    <t>Job_1369</t>
  </si>
  <si>
    <t>Job_1370</t>
  </si>
  <si>
    <t>Job_1371</t>
  </si>
  <si>
    <t>Job_1372</t>
  </si>
  <si>
    <t>Job_1378</t>
  </si>
  <si>
    <t>Job_1379</t>
  </si>
  <si>
    <t>Job_1381</t>
  </si>
  <si>
    <t>Job_1382</t>
  </si>
  <si>
    <t>Job_1383</t>
  </si>
  <si>
    <t>Job_1386</t>
  </si>
  <si>
    <t>S&amp;SL</t>
  </si>
  <si>
    <t>Vacation</t>
  </si>
  <si>
    <t>17C</t>
  </si>
  <si>
    <t>17E</t>
  </si>
  <si>
    <t>17O</t>
  </si>
  <si>
    <t>17P</t>
  </si>
  <si>
    <t>17T</t>
  </si>
  <si>
    <t>Vulcan</t>
  </si>
  <si>
    <t>Rowen</t>
  </si>
  <si>
    <t>Schuster - Rockville</t>
  </si>
  <si>
    <t>Schuster - Baltimore</t>
  </si>
  <si>
    <t>LaFarge</t>
  </si>
  <si>
    <t>M Luis Products</t>
  </si>
  <si>
    <t>MD Paving</t>
  </si>
  <si>
    <t>Pleasants</t>
  </si>
  <si>
    <t>Martin Marietta</t>
  </si>
  <si>
    <t>CD Thomas</t>
  </si>
  <si>
    <t>DC Materials</t>
  </si>
  <si>
    <t>People Ready</t>
  </si>
  <si>
    <t>Aggregate</t>
  </si>
  <si>
    <t>S Mix 2</t>
  </si>
  <si>
    <t>M Mix 3</t>
  </si>
  <si>
    <t>4.75mm</t>
  </si>
  <si>
    <t>#2 stone</t>
  </si>
  <si>
    <t>top soil</t>
  </si>
  <si>
    <t>GAB</t>
  </si>
  <si>
    <t>S Mix 3</t>
  </si>
  <si>
    <t>M Mix 6</t>
  </si>
  <si>
    <t>9.5mm</t>
  </si>
  <si>
    <t>#8 stone</t>
  </si>
  <si>
    <t>c. borrow</t>
  </si>
  <si>
    <t>S Mix 6</t>
  </si>
  <si>
    <t>M Mix 9</t>
  </si>
  <si>
    <t>12.5mm</t>
  </si>
  <si>
    <t>#57 stone</t>
  </si>
  <si>
    <t>S Mix 9</t>
  </si>
  <si>
    <t>19mm</t>
  </si>
  <si>
    <t>CR6</t>
  </si>
  <si>
    <t>25mm</t>
  </si>
  <si>
    <t>R. Rapp</t>
  </si>
  <si>
    <t>cold patch</t>
  </si>
  <si>
    <t>Email Address</t>
  </si>
  <si>
    <t>Name</t>
  </si>
  <si>
    <t>Date</t>
  </si>
  <si>
    <t>Complete</t>
  </si>
  <si>
    <t>walt.leizear@mluisconstruction.com</t>
  </si>
  <si>
    <t>Walt</t>
  </si>
  <si>
    <t>oscar.allende@mluisconstruction.com</t>
  </si>
  <si>
    <t>Oscar</t>
  </si>
  <si>
    <t>william.bratcher@mluisconstruction.com</t>
  </si>
  <si>
    <t>William</t>
  </si>
  <si>
    <t>jason.leizear@mluisconstruction.com</t>
  </si>
  <si>
    <t>Jason</t>
  </si>
  <si>
    <t>Approved</t>
  </si>
  <si>
    <t>schnelle.blanco@mluisconstruction.com</t>
  </si>
  <si>
    <t>Schnelle</t>
  </si>
  <si>
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</si>
  <si>
    <t>{name},
Alfonso's timesheet for {date} has been submitted and approved. 
Thanks,
M. Luis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</si>
</sst>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#,##0.00_);&quot;(&quot;#,##0.00&quot;)&quot;;&quot;&quot;_)"/>
    <numFmt numFmtId="166" formatCode="#,##0_);&quot;(&quot;#,##0&quot;)&quot;;&quot;&quot;_)"/>
  </numFmts>
  <fonts count="15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color rgb="FF0000FF"/>
      <name val="Arial"/>
    </font>
    <font>
      <b/>
      <sz val="10"/>
      <color rgb="FF980000"/>
      <name val="Arial"/>
    </font>
    <font>
      <b/>
      <sz val="14"/>
      <name val="Arial"/>
    </font>
    <font>
      <b/>
      <sz val="12"/>
      <name val="Arial"/>
    </font>
    <font>
      <b/>
      <sz val="12"/>
      <color rgb="FF0000FF"/>
      <name val="Arial"/>
    </font>
    <font>
      <b/>
      <sz val="14"/>
      <color rgb="FFFF0000"/>
      <name val="Arial"/>
    </font>
    <font>
      <b/>
      <sz val="12"/>
      <color rgb="FFFF0000"/>
      <name val="Arial"/>
    </font>
    <font>
      <b/>
      <sz val="9"/>
      <name val="Arial"/>
    </font>
    <font>
      <b/>
      <sz val="10"/>
      <color rgb="FFFF0000"/>
      <name val="Arial"/>
    </font>
    <font>
      <b/>
      <sz val="14"/>
      <color rgb="FF0000FF"/>
      <name val="Arial"/>
    </font>
    <font>
      <sz val="10"/>
      <name val="Arial"/>
    </font>
    <font>
      <sz val="11"/>
      <color rgb="FF525066"/>
      <name val="Monospace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5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1" fillId="0" borderId="13" xfId="0" applyFont="1" applyBorder="1" applyAlignment="1">
      <alignment horizontal="left"/>
    </xf>
    <xf numFmtId="0" fontId="2" fillId="0" borderId="16" xfId="0" applyFont="1" applyBorder="1"/>
    <xf numFmtId="0" fontId="1" fillId="2" borderId="27" xfId="0" applyFont="1" applyFill="1" applyBorder="1" applyAlignment="1">
      <alignment horizontal="left"/>
    </xf>
    <xf numFmtId="0" fontId="1" fillId="2" borderId="27" xfId="0" applyFont="1" applyFill="1" applyBorder="1" applyAlignment="1">
      <alignment horizontal="right"/>
    </xf>
    <xf numFmtId="0" fontId="1" fillId="2" borderId="27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26" xfId="0" applyFont="1" applyFill="1" applyBorder="1" applyAlignment="1">
      <alignment vertical="center"/>
    </xf>
    <xf numFmtId="0" fontId="10" fillId="2" borderId="34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0" borderId="36" xfId="0" applyFont="1" applyBorder="1"/>
    <xf numFmtId="0" fontId="1" fillId="0" borderId="37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6" fontId="9" fillId="0" borderId="38" xfId="0" applyNumberFormat="1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66" fontId="9" fillId="3" borderId="38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1" xfId="0" applyFont="1" applyBorder="1"/>
    <xf numFmtId="166" fontId="9" fillId="5" borderId="38" xfId="0" applyNumberFormat="1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46" xfId="0" applyFont="1" applyBorder="1" applyAlignment="1">
      <alignment horizontal="center" vertical="center" wrapText="1"/>
    </xf>
    <xf numFmtId="165" fontId="9" fillId="0" borderId="25" xfId="0" applyNumberFormat="1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165" fontId="9" fillId="3" borderId="25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2" fillId="0" borderId="0" xfId="0" applyFont="1"/>
    <xf numFmtId="0" fontId="13" fillId="0" borderId="0" xfId="0" applyFont="1"/>
    <xf numFmtId="0" fontId="14" fillId="8" borderId="0" xfId="0" applyFont="1" applyFill="1"/>
    <xf numFmtId="164" fontId="2" fillId="0" borderId="0" xfId="0" applyNumberFormat="1" applyFont="1"/>
    <xf numFmtId="0" fontId="1" fillId="0" borderId="26" xfId="0" applyFont="1" applyBorder="1" applyAlignment="1">
      <alignment horizontal="left"/>
    </xf>
    <xf numFmtId="0" fontId="1" fillId="0" borderId="15" xfId="0" applyFont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 wrapText="1"/>
    </xf>
    <xf numFmtId="0" fontId="1" fillId="3" borderId="26" xfId="0" applyFont="1" applyFill="1" applyBorder="1"/>
    <xf numFmtId="0" fontId="2" fillId="0" borderId="37" xfId="0" applyFont="1" applyBorder="1"/>
    <xf numFmtId="0" fontId="2" fillId="0" borderId="34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right"/>
    </xf>
    <xf numFmtId="49" fontId="2" fillId="7" borderId="37" xfId="0" applyNumberFormat="1" applyFont="1" applyFill="1" applyBorder="1" applyAlignment="1">
      <alignment horizontal="center"/>
    </xf>
    <xf numFmtId="49" fontId="2" fillId="7" borderId="16" xfId="0" applyNumberFormat="1" applyFont="1" applyFill="1" applyBorder="1" applyAlignment="1">
      <alignment horizontal="center"/>
    </xf>
    <xf numFmtId="49" fontId="2" fillId="7" borderId="0" xfId="0" applyNumberFormat="1" applyFont="1" applyFill="1" applyAlignment="1">
      <alignment horizontal="center"/>
    </xf>
    <xf numFmtId="0" fontId="7" fillId="3" borderId="9" xfId="0" applyFont="1" applyFill="1" applyBorder="1" applyAlignment="1">
      <alignment horizontal="center"/>
    </xf>
    <xf numFmtId="165" fontId="8" fillId="0" borderId="23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165" fontId="8" fillId="3" borderId="23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2" fontId="9" fillId="0" borderId="10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3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left"/>
    </xf>
    <xf numFmtId="164" fontId="3" fillId="0" borderId="9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left" vertical="top" wrapText="1"/>
    </xf>
    <xf numFmtId="0" fontId="3" fillId="0" borderId="56" xfId="0" applyFont="1" applyBorder="1" applyAlignment="1">
      <alignment horizontal="left" vertical="top" wrapText="1"/>
    </xf>
    <xf numFmtId="0" fontId="11" fillId="0" borderId="41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top" wrapText="1"/>
    </xf>
    <xf numFmtId="0" fontId="7" fillId="3" borderId="18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center" wrapText="1"/>
    </xf>
    <xf numFmtId="0" fontId="1" fillId="6" borderId="52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center" wrapText="1"/>
    </xf>
    <xf numFmtId="3" fontId="12" fillId="6" borderId="1" xfId="0" applyNumberFormat="1" applyFont="1" applyFill="1" applyBorder="1" applyAlignment="1">
      <alignment horizontal="center" vertical="center" wrapText="1"/>
    </xf>
    <xf numFmtId="0" fontId="2" fillId="0" borderId="51" xfId="0" applyFont="1" applyBorder="1" applyAlignment="1"/>
    <xf numFmtId="0" fontId="2" fillId="0" borderId="2" xfId="0" applyFont="1" applyBorder="1" applyAlignment="1"/>
    <xf numFmtId="0" fontId="1" fillId="0" borderId="28" xfId="0" applyFont="1" applyBorder="1" applyAlignment="1"/>
    <xf numFmtId="0" fontId="2" fillId="0" borderId="3" xfId="0" applyFont="1" applyBorder="1" applyAlignment="1"/>
    <xf numFmtId="0" fontId="2" fillId="0" borderId="29" xfId="0" applyFont="1" applyBorder="1" applyAlignment="1"/>
    <xf numFmtId="0" fontId="1" fillId="0" borderId="51" xfId="0" applyFont="1" applyBorder="1" applyAlignment="1"/>
    <xf numFmtId="0" fontId="1" fillId="0" borderId="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" fillId="0" borderId="3" xfId="0" applyFont="1" applyBorder="1" applyAlignment="1"/>
    <xf numFmtId="0" fontId="1" fillId="0" borderId="10" xfId="0" applyFont="1" applyBorder="1" applyAlignment="1"/>
    <xf numFmtId="0" fontId="2" fillId="0" borderId="35" xfId="0" applyFont="1" applyBorder="1" applyAlignment="1"/>
    <xf numFmtId="0" fontId="1" fillId="0" borderId="14" xfId="0" applyFont="1" applyBorder="1" applyAlignment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53" xfId="0" applyFont="1" applyBorder="1" applyAlignment="1"/>
    <xf numFmtId="0" fontId="2" fillId="0" borderId="17" xfId="0" applyFont="1" applyBorder="1" applyAlignment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6" xfId="0" applyFont="1" applyBorder="1" applyAlignment="1"/>
    <xf numFmtId="0" fontId="2" fillId="0" borderId="27" xfId="0" applyFont="1" applyBorder="1" applyAlignment="1"/>
    <xf numFmtId="0" fontId="2" fillId="0" borderId="10" xfId="0" applyFont="1" applyBorder="1" applyAlignment="1"/>
    <xf numFmtId="0" fontId="2" fillId="0" borderId="24" xfId="0" applyFont="1" applyBorder="1" applyAlignment="1"/>
    <xf numFmtId="0" fontId="2" fillId="0" borderId="9" xfId="0" applyFont="1" applyBorder="1" applyAlignment="1"/>
    <xf numFmtId="0" fontId="2" fillId="0" borderId="25" xfId="0" applyFont="1" applyBorder="1" applyAlignment="1"/>
    <xf numFmtId="0" fontId="2" fillId="0" borderId="31" xfId="0" applyFont="1" applyBorder="1" applyAlignment="1"/>
    <xf numFmtId="0" fontId="2" fillId="0" borderId="32" xfId="0" applyFont="1" applyBorder="1" applyAlignment="1"/>
    <xf numFmtId="0" fontId="2" fillId="0" borderId="33" xfId="0" applyFont="1" applyBorder="1" applyAlignment="1"/>
    <xf numFmtId="0" fontId="2" fillId="0" borderId="41" xfId="0" applyFont="1" applyBorder="1" applyAlignment="1"/>
    <xf numFmtId="0" fontId="2" fillId="0" borderId="42" xfId="0" applyFont="1" applyBorder="1" applyAlignment="1"/>
    <xf numFmtId="0" fontId="2" fillId="0" borderId="46" xfId="0" applyFont="1" applyBorder="1" applyAlignment="1"/>
    <xf numFmtId="0" fontId="2" fillId="0" borderId="48" xfId="0" applyFont="1" applyBorder="1" applyAlignment="1"/>
    <xf numFmtId="0" fontId="2" fillId="0" borderId="49" xfId="0" applyFont="1" applyBorder="1" applyAlignment="1"/>
    <xf numFmtId="0" fontId="2" fillId="0" borderId="54" xfId="0" applyFont="1" applyBorder="1" applyAlignment="1"/>
    <xf numFmtId="0" fontId="2" fillId="0" borderId="55" xfId="0" applyFont="1" applyBorder="1" applyAlignment="1"/>
    <xf numFmtId="0" fontId="2" fillId="0" borderId="56" xfId="0" applyFont="1" applyBorder="1" applyAlignment="1"/>
    <xf numFmtId="0" fontId="2" fillId="0" borderId="57" xfId="0" applyFont="1" applyBorder="1" applyAlignment="1"/>
  </cellXfs>
  <cellStyles count="1">
    <cellStyle name="Normal" xfId="0" builtinId="0"/>
  </cellStyles>
  <dxfs count="2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85725</xdr:rowOff>
    </xdr:from>
    <xdr:ext cx="647700" cy="609600"/>
    <xdr:pic>
      <xdr:nvPicPr>
        <xdr:cNvPr id="2" name="image1.png" descr="No automatic alt text available.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5"/>
  <sheetViews>
    <sheetView tabSelected="1" workbookViewId="0"/>
  </sheetViews>
  <sheetFormatPr defaultColWidth="12.5703125" defaultRowHeight="15" customHeight="1"/>
  <cols>
    <col min="1" max="1" width="15.42578125" customWidth="1"/>
    <col min="2" max="2" width="8" customWidth="1"/>
    <col min="3" max="3" width="10" customWidth="1"/>
    <col min="4" max="4" width="5" customWidth="1"/>
    <col min="5" max="22" width="4.42578125" customWidth="1"/>
    <col min="23" max="23" width="11.85546875" customWidth="1"/>
    <col min="24" max="26" width="8" customWidth="1"/>
  </cols>
  <sheetData>
    <row r="1" spans="1:26" ht="14.25" customHeight="1">
      <c r="A1" s="88" t="s">
        <v>0</v>
      </c>
      <c r="B1" s="137"/>
      <c r="C1" s="138"/>
      <c r="D1" s="139" t="s">
        <v>1</v>
      </c>
      <c r="E1" s="140"/>
      <c r="F1" s="140"/>
      <c r="G1" s="141"/>
      <c r="H1" s="139" t="s">
        <v>2</v>
      </c>
      <c r="I1" s="140"/>
      <c r="J1" s="140"/>
      <c r="K1" s="140"/>
      <c r="L1" s="140"/>
      <c r="M1" s="141"/>
      <c r="N1" s="142" t="s">
        <v>3</v>
      </c>
      <c r="O1" s="137"/>
      <c r="P1" s="137"/>
      <c r="Q1" s="137"/>
      <c r="R1" s="138"/>
      <c r="S1" s="143" t="s">
        <v>4</v>
      </c>
      <c r="T1" s="137"/>
      <c r="U1" s="137"/>
      <c r="V1" s="137"/>
      <c r="W1" s="144"/>
      <c r="X1" s="1"/>
      <c r="Y1" s="1"/>
      <c r="Z1" s="1"/>
    </row>
    <row r="2" spans="1:26" ht="19.5" customHeight="1">
      <c r="A2" s="145"/>
      <c r="B2" s="146"/>
      <c r="C2" s="147"/>
      <c r="D2" s="82"/>
      <c r="E2" s="146"/>
      <c r="F2" s="146"/>
      <c r="G2" s="147"/>
      <c r="H2" s="75"/>
      <c r="I2" s="148"/>
      <c r="J2" s="148"/>
      <c r="K2" s="148"/>
      <c r="L2" s="148"/>
      <c r="M2" s="149"/>
      <c r="N2" s="79"/>
      <c r="O2" s="146"/>
      <c r="P2" s="146"/>
      <c r="Q2" s="146"/>
      <c r="R2" s="147"/>
      <c r="S2" s="79"/>
      <c r="T2" s="146"/>
      <c r="U2" s="146"/>
      <c r="V2" s="146"/>
      <c r="W2" s="150"/>
      <c r="X2" s="1"/>
      <c r="Y2" s="1"/>
      <c r="Z2" s="1"/>
    </row>
    <row r="3" spans="1:26" ht="19.5" customHeight="1">
      <c r="A3" s="2"/>
      <c r="B3" s="83" t="s">
        <v>5</v>
      </c>
      <c r="C3" s="140"/>
      <c r="D3" s="140"/>
      <c r="E3" s="141"/>
      <c r="F3" s="139" t="s">
        <v>6</v>
      </c>
      <c r="G3" s="140"/>
      <c r="H3" s="141"/>
      <c r="I3" s="151" t="s">
        <v>7</v>
      </c>
      <c r="J3" s="140"/>
      <c r="K3" s="140"/>
      <c r="L3" s="140"/>
      <c r="M3" s="141"/>
      <c r="N3" s="78" t="s">
        <v>8</v>
      </c>
      <c r="O3" s="148"/>
      <c r="P3" s="148"/>
      <c r="Q3" s="148"/>
      <c r="R3" s="149"/>
      <c r="S3" s="152" t="s">
        <v>9</v>
      </c>
      <c r="T3" s="148"/>
      <c r="U3" s="148"/>
      <c r="V3" s="148"/>
      <c r="W3" s="153"/>
      <c r="X3" s="1"/>
      <c r="Y3" s="1"/>
      <c r="Z3" s="1"/>
    </row>
    <row r="4" spans="1:26" ht="16.5" customHeight="1">
      <c r="A4" s="41"/>
      <c r="B4" s="148"/>
      <c r="C4" s="148"/>
      <c r="D4" s="148"/>
      <c r="E4" s="149"/>
      <c r="F4" s="79"/>
      <c r="G4" s="146"/>
      <c r="H4" s="147"/>
      <c r="I4" s="79"/>
      <c r="J4" s="146"/>
      <c r="K4" s="146"/>
      <c r="L4" s="146"/>
      <c r="M4" s="147"/>
      <c r="N4" s="79"/>
      <c r="O4" s="146"/>
      <c r="P4" s="146"/>
      <c r="Q4" s="146"/>
      <c r="R4" s="147"/>
      <c r="S4" s="79"/>
      <c r="T4" s="146"/>
      <c r="U4" s="146"/>
      <c r="V4" s="146"/>
      <c r="W4" s="150"/>
      <c r="X4" s="1"/>
      <c r="Y4" s="1"/>
      <c r="Z4" s="1"/>
    </row>
    <row r="5" spans="1:26" ht="16.5" customHeight="1">
      <c r="A5" s="41"/>
      <c r="B5" s="148"/>
      <c r="C5" s="148"/>
      <c r="D5" s="148"/>
      <c r="E5" s="149"/>
      <c r="F5" s="154" t="s">
        <v>10</v>
      </c>
      <c r="G5" s="155"/>
      <c r="H5" s="155"/>
      <c r="I5" s="155"/>
      <c r="J5" s="155"/>
      <c r="K5" s="155"/>
      <c r="L5" s="155"/>
      <c r="M5" s="155"/>
      <c r="N5" s="155"/>
      <c r="O5" s="156"/>
      <c r="P5" s="42" t="s">
        <v>11</v>
      </c>
      <c r="Q5" s="80" t="b">
        <v>0</v>
      </c>
      <c r="R5" s="156"/>
      <c r="S5" s="81" t="s">
        <v>12</v>
      </c>
      <c r="T5" s="146"/>
      <c r="U5" s="146"/>
      <c r="V5" s="146"/>
      <c r="W5" s="150"/>
      <c r="X5" s="1"/>
      <c r="Y5" s="1"/>
      <c r="Z5" s="1"/>
    </row>
    <row r="6" spans="1:26" ht="19.5" customHeight="1">
      <c r="A6" s="41"/>
      <c r="B6" s="157"/>
      <c r="C6" s="157"/>
      <c r="D6" s="157"/>
      <c r="E6" s="158"/>
      <c r="F6" s="77" t="s">
        <v>13</v>
      </c>
      <c r="G6" s="159"/>
      <c r="H6" s="159"/>
      <c r="I6" s="76"/>
      <c r="J6" s="159"/>
      <c r="K6" s="159"/>
      <c r="L6" s="159"/>
      <c r="M6" s="159"/>
      <c r="N6" s="159"/>
      <c r="O6" s="159"/>
      <c r="P6" s="159"/>
      <c r="Q6" s="76" t="b">
        <v>0</v>
      </c>
      <c r="R6" s="160"/>
      <c r="S6" s="77" t="s">
        <v>14</v>
      </c>
      <c r="T6" s="159"/>
      <c r="U6" s="159"/>
      <c r="V6" s="159"/>
      <c r="W6" s="161"/>
      <c r="X6" s="1"/>
      <c r="Y6" s="1"/>
      <c r="Z6" s="1"/>
    </row>
    <row r="7" spans="1:26" ht="12" customHeight="1">
      <c r="A7" s="84" t="s">
        <v>15</v>
      </c>
      <c r="B7" s="85" t="s">
        <v>16</v>
      </c>
      <c r="C7" s="137"/>
      <c r="D7" s="137"/>
      <c r="E7" s="86" t="s">
        <v>17</v>
      </c>
      <c r="F7" s="138"/>
      <c r="G7" s="87"/>
      <c r="H7" s="138"/>
      <c r="I7" s="87"/>
      <c r="J7" s="138"/>
      <c r="K7" s="87"/>
      <c r="L7" s="138"/>
      <c r="M7" s="90"/>
      <c r="N7" s="138"/>
      <c r="O7" s="87"/>
      <c r="P7" s="138"/>
      <c r="Q7" s="87"/>
      <c r="R7" s="138"/>
      <c r="S7" s="87"/>
      <c r="T7" s="138"/>
      <c r="U7" s="87"/>
      <c r="V7" s="138"/>
      <c r="W7" s="96" t="s">
        <v>18</v>
      </c>
      <c r="X7" s="1"/>
      <c r="Y7" s="1"/>
      <c r="Z7" s="1"/>
    </row>
    <row r="8" spans="1:26" ht="12" customHeight="1">
      <c r="A8" s="162"/>
      <c r="B8" s="92" t="s">
        <v>19</v>
      </c>
      <c r="C8" s="163"/>
      <c r="D8" s="163"/>
      <c r="E8" s="164"/>
      <c r="F8" s="149"/>
      <c r="G8" s="164"/>
      <c r="H8" s="149"/>
      <c r="I8" s="164"/>
      <c r="J8" s="149"/>
      <c r="K8" s="164"/>
      <c r="L8" s="149"/>
      <c r="M8" s="164"/>
      <c r="N8" s="149"/>
      <c r="O8" s="164"/>
      <c r="P8" s="149"/>
      <c r="Q8" s="164"/>
      <c r="R8" s="149"/>
      <c r="S8" s="164"/>
      <c r="T8" s="149"/>
      <c r="U8" s="164"/>
      <c r="V8" s="149"/>
      <c r="W8" s="165"/>
      <c r="X8" s="1"/>
      <c r="Y8" s="1"/>
      <c r="Z8" s="1"/>
    </row>
    <row r="9" spans="1:26" ht="10.5" customHeight="1">
      <c r="A9" s="162"/>
      <c r="B9" s="93" t="s">
        <v>20</v>
      </c>
      <c r="C9" s="163"/>
      <c r="D9" s="163"/>
      <c r="E9" s="166"/>
      <c r="F9" s="147"/>
      <c r="G9" s="166"/>
      <c r="H9" s="147"/>
      <c r="I9" s="166"/>
      <c r="J9" s="147"/>
      <c r="K9" s="166"/>
      <c r="L9" s="147"/>
      <c r="M9" s="166"/>
      <c r="N9" s="147"/>
      <c r="O9" s="166"/>
      <c r="P9" s="147"/>
      <c r="Q9" s="166"/>
      <c r="R9" s="147"/>
      <c r="S9" s="166"/>
      <c r="T9" s="147"/>
      <c r="U9" s="166"/>
      <c r="V9" s="147"/>
      <c r="W9" s="167"/>
      <c r="X9" s="1"/>
      <c r="Y9" s="1"/>
      <c r="Z9" s="1"/>
    </row>
    <row r="10" spans="1:26" ht="12.75" customHeight="1">
      <c r="A10" s="162"/>
      <c r="B10" s="4" t="s">
        <v>21</v>
      </c>
      <c r="C10" s="5" t="s">
        <v>22</v>
      </c>
      <c r="D10" s="6"/>
      <c r="E10" s="91" t="s">
        <v>23</v>
      </c>
      <c r="F10" s="141"/>
      <c r="G10" s="91" t="s">
        <v>24</v>
      </c>
      <c r="H10" s="141"/>
      <c r="I10" s="91" t="s">
        <v>24</v>
      </c>
      <c r="J10" s="141"/>
      <c r="K10" s="91" t="s">
        <v>24</v>
      </c>
      <c r="L10" s="141"/>
      <c r="M10" s="91" t="s">
        <v>24</v>
      </c>
      <c r="N10" s="141"/>
      <c r="O10" s="91" t="s">
        <v>24</v>
      </c>
      <c r="P10" s="141"/>
      <c r="Q10" s="91" t="s">
        <v>24</v>
      </c>
      <c r="R10" s="141"/>
      <c r="S10" s="91" t="s">
        <v>24</v>
      </c>
      <c r="T10" s="141"/>
      <c r="U10" s="91" t="s">
        <v>24</v>
      </c>
      <c r="V10" s="141"/>
      <c r="W10" s="7" t="s">
        <v>24</v>
      </c>
      <c r="X10" s="1"/>
      <c r="Y10" s="1"/>
      <c r="Z10" s="1"/>
    </row>
    <row r="11" spans="1:26" ht="18" customHeight="1">
      <c r="A11" s="58">
        <f>IFERROR(VLOOKUP(B11,'Employee Numbers'!A1:B125,2,FALSE),"")</f>
        <v>177</v>
      </c>
      <c r="B11" s="94" t="s">
        <v>25</v>
      </c>
      <c r="C11" s="137"/>
      <c r="D11" s="138"/>
      <c r="E11" s="95">
        <v>400</v>
      </c>
      <c r="F11" s="138"/>
      <c r="G11" s="89"/>
      <c r="H11" s="138"/>
      <c r="I11" s="89"/>
      <c r="J11" s="138"/>
      <c r="K11" s="89"/>
      <c r="L11" s="138"/>
      <c r="M11" s="89"/>
      <c r="N11" s="138"/>
      <c r="O11" s="89"/>
      <c r="P11" s="138"/>
      <c r="Q11" s="89"/>
      <c r="R11" s="138"/>
      <c r="S11" s="89"/>
      <c r="T11" s="138"/>
      <c r="U11" s="89"/>
      <c r="V11" s="138"/>
      <c r="W11" s="53">
        <f>SUM(G11:V12)</f>
        <v>0</v>
      </c>
      <c r="X11" s="1"/>
      <c r="Y11" s="1"/>
      <c r="Z11" s="1"/>
    </row>
    <row r="12" spans="1:26" ht="18" customHeight="1">
      <c r="A12" s="168"/>
      <c r="B12" s="169"/>
      <c r="C12" s="157"/>
      <c r="D12" s="158"/>
      <c r="E12" s="169"/>
      <c r="F12" s="158"/>
      <c r="G12" s="169"/>
      <c r="H12" s="158"/>
      <c r="I12" s="169"/>
      <c r="J12" s="158"/>
      <c r="K12" s="169"/>
      <c r="L12" s="158"/>
      <c r="M12" s="169"/>
      <c r="N12" s="158"/>
      <c r="O12" s="169"/>
      <c r="P12" s="158"/>
      <c r="Q12" s="169"/>
      <c r="R12" s="158"/>
      <c r="S12" s="169"/>
      <c r="T12" s="158"/>
      <c r="U12" s="169"/>
      <c r="V12" s="158"/>
      <c r="W12" s="170"/>
      <c r="X12" s="1"/>
      <c r="Y12" s="1"/>
      <c r="Z12" s="1"/>
    </row>
    <row r="13" spans="1:26" ht="18" customHeight="1">
      <c r="A13" s="58">
        <f>IFERROR(VLOOKUP(B13,'Employee Numbers'!A1:B125,2,FALSE),"")</f>
        <v>1384</v>
      </c>
      <c r="B13" s="62" t="s">
        <v>26</v>
      </c>
      <c r="C13" s="148"/>
      <c r="D13" s="149"/>
      <c r="E13" s="97">
        <v>203</v>
      </c>
      <c r="F13" s="147"/>
      <c r="G13" s="52"/>
      <c r="H13" s="147"/>
      <c r="I13" s="52"/>
      <c r="J13" s="147"/>
      <c r="K13" s="52"/>
      <c r="L13" s="147"/>
      <c r="M13" s="52"/>
      <c r="N13" s="147"/>
      <c r="O13" s="52"/>
      <c r="P13" s="147"/>
      <c r="Q13" s="52"/>
      <c r="R13" s="147"/>
      <c r="S13" s="52"/>
      <c r="T13" s="147"/>
      <c r="U13" s="52"/>
      <c r="V13" s="147"/>
      <c r="W13" s="56">
        <f>SUM(G13:V14)</f>
        <v>0</v>
      </c>
      <c r="X13" s="1"/>
      <c r="Y13" s="1"/>
      <c r="Z13" s="1"/>
    </row>
    <row r="14" spans="1:26" ht="18" customHeight="1">
      <c r="A14" s="168"/>
      <c r="B14" s="169"/>
      <c r="C14" s="157"/>
      <c r="D14" s="158"/>
      <c r="E14" s="98">
        <v>113</v>
      </c>
      <c r="F14" s="160"/>
      <c r="G14" s="55"/>
      <c r="H14" s="160"/>
      <c r="I14" s="55"/>
      <c r="J14" s="160"/>
      <c r="K14" s="55"/>
      <c r="L14" s="160"/>
      <c r="M14" s="55"/>
      <c r="N14" s="160"/>
      <c r="O14" s="55"/>
      <c r="P14" s="160"/>
      <c r="Q14" s="55"/>
      <c r="R14" s="160"/>
      <c r="S14" s="55"/>
      <c r="T14" s="160"/>
      <c r="U14" s="55"/>
      <c r="V14" s="160"/>
      <c r="W14" s="170"/>
      <c r="X14" s="1"/>
      <c r="Y14" s="1"/>
      <c r="Z14" s="1"/>
    </row>
    <row r="15" spans="1:26" ht="18" customHeight="1">
      <c r="A15" s="58">
        <f>IFERROR(VLOOKUP(B15,'Employee Numbers'!A1:B125,2,FALSE),"")</f>
        <v>1308</v>
      </c>
      <c r="B15" s="59" t="s">
        <v>27</v>
      </c>
      <c r="C15" s="148"/>
      <c r="D15" s="149"/>
      <c r="E15" s="79">
        <v>109</v>
      </c>
      <c r="F15" s="147"/>
      <c r="G15" s="57"/>
      <c r="H15" s="147"/>
      <c r="I15" s="57"/>
      <c r="J15" s="147"/>
      <c r="K15" s="57"/>
      <c r="L15" s="147"/>
      <c r="M15" s="57"/>
      <c r="N15" s="147"/>
      <c r="O15" s="57"/>
      <c r="P15" s="147"/>
      <c r="Q15" s="57"/>
      <c r="R15" s="147"/>
      <c r="S15" s="57"/>
      <c r="T15" s="147"/>
      <c r="U15" s="57"/>
      <c r="V15" s="147"/>
      <c r="W15" s="53">
        <f>SUM(G15:V16)</f>
        <v>0</v>
      </c>
      <c r="X15" s="1"/>
      <c r="Y15" s="1"/>
      <c r="Z15" s="1"/>
    </row>
    <row r="16" spans="1:26" ht="18" customHeight="1">
      <c r="A16" s="168"/>
      <c r="B16" s="169"/>
      <c r="C16" s="157"/>
      <c r="D16" s="158"/>
      <c r="E16" s="99">
        <v>113</v>
      </c>
      <c r="F16" s="160"/>
      <c r="G16" s="54"/>
      <c r="H16" s="160"/>
      <c r="I16" s="54"/>
      <c r="J16" s="160"/>
      <c r="K16" s="54"/>
      <c r="L16" s="160"/>
      <c r="M16" s="54"/>
      <c r="N16" s="160"/>
      <c r="O16" s="54"/>
      <c r="P16" s="160"/>
      <c r="Q16" s="54"/>
      <c r="R16" s="160"/>
      <c r="S16" s="54"/>
      <c r="T16" s="160"/>
      <c r="U16" s="54"/>
      <c r="V16" s="160"/>
      <c r="W16" s="170"/>
      <c r="X16" s="1"/>
      <c r="Y16" s="1"/>
      <c r="Z16" s="1"/>
    </row>
    <row r="17" spans="1:26" ht="18" customHeight="1">
      <c r="A17" s="58">
        <f>IFERROR(VLOOKUP(B17,'Employee Numbers'!A1:B125,2,FALSE),"")</f>
        <v>1728</v>
      </c>
      <c r="B17" s="62" t="s">
        <v>28</v>
      </c>
      <c r="C17" s="148"/>
      <c r="D17" s="149"/>
      <c r="E17" s="97">
        <v>109</v>
      </c>
      <c r="F17" s="147"/>
      <c r="G17" s="52"/>
      <c r="H17" s="147"/>
      <c r="I17" s="52"/>
      <c r="J17" s="147"/>
      <c r="K17" s="52"/>
      <c r="L17" s="147"/>
      <c r="M17" s="52"/>
      <c r="N17" s="147"/>
      <c r="O17" s="52"/>
      <c r="P17" s="147"/>
      <c r="Q17" s="52"/>
      <c r="R17" s="147"/>
      <c r="S17" s="52"/>
      <c r="T17" s="147"/>
      <c r="U17" s="52"/>
      <c r="V17" s="147"/>
      <c r="W17" s="56">
        <f>SUM(G17:V18)</f>
        <v>0</v>
      </c>
      <c r="X17" s="1"/>
      <c r="Y17" s="1"/>
      <c r="Z17" s="1"/>
    </row>
    <row r="18" spans="1:26" ht="18" customHeight="1">
      <c r="A18" s="168"/>
      <c r="B18" s="169"/>
      <c r="C18" s="157"/>
      <c r="D18" s="158"/>
      <c r="E18" s="98">
        <v>113</v>
      </c>
      <c r="F18" s="160"/>
      <c r="G18" s="55"/>
      <c r="H18" s="160"/>
      <c r="I18" s="55"/>
      <c r="J18" s="160"/>
      <c r="K18" s="55"/>
      <c r="L18" s="160"/>
      <c r="M18" s="55"/>
      <c r="N18" s="160"/>
      <c r="O18" s="55"/>
      <c r="P18" s="160"/>
      <c r="Q18" s="55"/>
      <c r="R18" s="160"/>
      <c r="S18" s="55"/>
      <c r="T18" s="160"/>
      <c r="U18" s="55"/>
      <c r="V18" s="160"/>
      <c r="W18" s="170"/>
      <c r="X18" s="1"/>
      <c r="Y18" s="1"/>
      <c r="Z18" s="1"/>
    </row>
    <row r="19" spans="1:26" ht="18" customHeight="1">
      <c r="A19" s="58">
        <f>IFERROR(VLOOKUP(B19,'Employee Numbers'!A1:B125,2,FALSE),"")</f>
        <v>1319</v>
      </c>
      <c r="B19" s="59" t="s">
        <v>29</v>
      </c>
      <c r="C19" s="148"/>
      <c r="D19" s="149"/>
      <c r="E19" s="79">
        <v>109</v>
      </c>
      <c r="F19" s="147"/>
      <c r="G19" s="57"/>
      <c r="H19" s="147"/>
      <c r="I19" s="57"/>
      <c r="J19" s="147"/>
      <c r="K19" s="57"/>
      <c r="L19" s="147"/>
      <c r="M19" s="57"/>
      <c r="N19" s="147"/>
      <c r="O19" s="57"/>
      <c r="P19" s="147"/>
      <c r="Q19" s="57"/>
      <c r="R19" s="147"/>
      <c r="S19" s="57"/>
      <c r="T19" s="147"/>
      <c r="U19" s="57"/>
      <c r="V19" s="147"/>
      <c r="W19" s="53">
        <f>SUM(G19:V20)</f>
        <v>0</v>
      </c>
      <c r="X19" s="1"/>
      <c r="Y19" s="1"/>
      <c r="Z19" s="1"/>
    </row>
    <row r="20" spans="1:26" ht="18" customHeight="1">
      <c r="A20" s="168"/>
      <c r="B20" s="169"/>
      <c r="C20" s="157"/>
      <c r="D20" s="158"/>
      <c r="E20" s="99">
        <v>113</v>
      </c>
      <c r="F20" s="160"/>
      <c r="G20" s="54"/>
      <c r="H20" s="160"/>
      <c r="I20" s="54"/>
      <c r="J20" s="160"/>
      <c r="K20" s="54"/>
      <c r="L20" s="160"/>
      <c r="M20" s="54"/>
      <c r="N20" s="160"/>
      <c r="O20" s="54"/>
      <c r="P20" s="160"/>
      <c r="Q20" s="54"/>
      <c r="R20" s="160"/>
      <c r="S20" s="54"/>
      <c r="T20" s="160"/>
      <c r="U20" s="54"/>
      <c r="V20" s="160"/>
      <c r="W20" s="170"/>
      <c r="X20" s="1"/>
      <c r="Y20" s="1"/>
      <c r="Z20" s="1"/>
    </row>
    <row r="21" spans="1:26" ht="18" customHeight="1">
      <c r="A21" s="58">
        <f>IFERROR(VLOOKUP(B21,'Employee Numbers'!A1:B125,2,FALSE),"")</f>
        <v>1927</v>
      </c>
      <c r="B21" s="62" t="s">
        <v>30</v>
      </c>
      <c r="C21" s="148"/>
      <c r="D21" s="149"/>
      <c r="E21" s="97">
        <v>121</v>
      </c>
      <c r="F21" s="147"/>
      <c r="G21" s="52"/>
      <c r="H21" s="147"/>
      <c r="I21" s="52"/>
      <c r="J21" s="147"/>
      <c r="K21" s="52"/>
      <c r="L21" s="147"/>
      <c r="M21" s="52"/>
      <c r="N21" s="147"/>
      <c r="O21" s="52"/>
      <c r="P21" s="147"/>
      <c r="Q21" s="52"/>
      <c r="R21" s="147"/>
      <c r="S21" s="52"/>
      <c r="T21" s="147"/>
      <c r="U21" s="52"/>
      <c r="V21" s="147"/>
      <c r="W21" s="56">
        <f>SUM(G21:V22)</f>
        <v>0</v>
      </c>
      <c r="X21" s="1"/>
      <c r="Y21" s="1"/>
      <c r="Z21" s="1"/>
    </row>
    <row r="22" spans="1:26" ht="18" customHeight="1">
      <c r="A22" s="168"/>
      <c r="B22" s="169"/>
      <c r="C22" s="157"/>
      <c r="D22" s="158"/>
      <c r="E22" s="98">
        <v>113</v>
      </c>
      <c r="F22" s="160"/>
      <c r="G22" s="55"/>
      <c r="H22" s="160"/>
      <c r="I22" s="55"/>
      <c r="J22" s="160"/>
      <c r="K22" s="55"/>
      <c r="L22" s="160"/>
      <c r="M22" s="55"/>
      <c r="N22" s="160"/>
      <c r="O22" s="55"/>
      <c r="P22" s="160"/>
      <c r="Q22" s="55"/>
      <c r="R22" s="160"/>
      <c r="S22" s="55"/>
      <c r="T22" s="160"/>
      <c r="U22" s="55"/>
      <c r="V22" s="160"/>
      <c r="W22" s="170"/>
      <c r="X22" s="1"/>
      <c r="Y22" s="1"/>
      <c r="Z22" s="1"/>
    </row>
    <row r="23" spans="1:26" ht="18" customHeight="1">
      <c r="A23" s="58">
        <f>IFERROR(VLOOKUP(B23,'Employee Numbers'!A1:B125,2,FALSE),"")</f>
        <v>1021</v>
      </c>
      <c r="B23" s="59" t="s">
        <v>31</v>
      </c>
      <c r="C23" s="148"/>
      <c r="D23" s="149"/>
      <c r="E23" s="79">
        <v>121</v>
      </c>
      <c r="F23" s="147"/>
      <c r="G23" s="57"/>
      <c r="H23" s="147"/>
      <c r="I23" s="57"/>
      <c r="J23" s="147"/>
      <c r="K23" s="57"/>
      <c r="L23" s="147"/>
      <c r="M23" s="57"/>
      <c r="N23" s="147"/>
      <c r="O23" s="57"/>
      <c r="P23" s="147"/>
      <c r="Q23" s="57"/>
      <c r="R23" s="147"/>
      <c r="S23" s="57"/>
      <c r="T23" s="147"/>
      <c r="U23" s="57"/>
      <c r="V23" s="147"/>
      <c r="W23" s="53">
        <f>SUM(G23:V24)</f>
        <v>0</v>
      </c>
      <c r="X23" s="1"/>
      <c r="Y23" s="1"/>
      <c r="Z23" s="1"/>
    </row>
    <row r="24" spans="1:26" ht="18" customHeight="1">
      <c r="A24" s="168"/>
      <c r="B24" s="169"/>
      <c r="C24" s="157"/>
      <c r="D24" s="158"/>
      <c r="E24" s="99">
        <v>113</v>
      </c>
      <c r="F24" s="160"/>
      <c r="G24" s="54"/>
      <c r="H24" s="160"/>
      <c r="I24" s="54"/>
      <c r="J24" s="160"/>
      <c r="K24" s="54"/>
      <c r="L24" s="160"/>
      <c r="M24" s="54"/>
      <c r="N24" s="160"/>
      <c r="O24" s="54"/>
      <c r="P24" s="160"/>
      <c r="Q24" s="54"/>
      <c r="R24" s="160"/>
      <c r="S24" s="54"/>
      <c r="T24" s="160"/>
      <c r="U24" s="54"/>
      <c r="V24" s="160"/>
      <c r="W24" s="170"/>
      <c r="X24" s="1"/>
      <c r="Y24" s="1"/>
      <c r="Z24" s="1"/>
    </row>
    <row r="25" spans="1:26" ht="18" customHeight="1">
      <c r="A25" s="58" t="str">
        <f>IFERROR(VLOOKUP(B25,'Employee Numbers'!A1:B125,2,FALSE),"")</f>
        <v/>
      </c>
      <c r="B25" s="62" t="s">
        <v>32</v>
      </c>
      <c r="C25" s="148"/>
      <c r="D25" s="149"/>
      <c r="E25" s="63">
        <v>208</v>
      </c>
      <c r="F25" s="147"/>
      <c r="G25" s="52"/>
      <c r="H25" s="147"/>
      <c r="I25" s="52"/>
      <c r="J25" s="147"/>
      <c r="K25" s="52"/>
      <c r="L25" s="147"/>
      <c r="M25" s="52"/>
      <c r="N25" s="147"/>
      <c r="O25" s="52"/>
      <c r="P25" s="147"/>
      <c r="Q25" s="52"/>
      <c r="R25" s="147"/>
      <c r="S25" s="52"/>
      <c r="T25" s="147"/>
      <c r="U25" s="52"/>
      <c r="V25" s="147"/>
      <c r="W25" s="56">
        <f>SUM(G25:V26)</f>
        <v>0</v>
      </c>
      <c r="X25" s="1"/>
      <c r="Y25" s="1"/>
      <c r="Z25" s="1"/>
    </row>
    <row r="26" spans="1:26" ht="18" customHeight="1">
      <c r="A26" s="168"/>
      <c r="B26" s="169"/>
      <c r="C26" s="157"/>
      <c r="D26" s="158"/>
      <c r="E26" s="98">
        <v>113</v>
      </c>
      <c r="F26" s="160"/>
      <c r="G26" s="55"/>
      <c r="H26" s="160"/>
      <c r="I26" s="55"/>
      <c r="J26" s="160"/>
      <c r="K26" s="55"/>
      <c r="L26" s="160"/>
      <c r="M26" s="55"/>
      <c r="N26" s="160"/>
      <c r="O26" s="55"/>
      <c r="P26" s="160"/>
      <c r="Q26" s="55"/>
      <c r="R26" s="160"/>
      <c r="S26" s="55"/>
      <c r="T26" s="160"/>
      <c r="U26" s="55"/>
      <c r="V26" s="160"/>
      <c r="W26" s="170"/>
      <c r="X26" s="1"/>
      <c r="Y26" s="1"/>
      <c r="Z26" s="1"/>
    </row>
    <row r="27" spans="1:26" ht="18" customHeight="1">
      <c r="A27" s="58">
        <f>IFERROR(VLOOKUP(B27,'Employee Numbers'!A1:B125,2,FALSE),"")</f>
        <v>1171</v>
      </c>
      <c r="B27" s="100" t="s">
        <v>33</v>
      </c>
      <c r="C27" s="140"/>
      <c r="D27" s="141"/>
      <c r="E27" s="60">
        <v>208</v>
      </c>
      <c r="F27" s="147"/>
      <c r="G27" s="57"/>
      <c r="H27" s="147"/>
      <c r="I27" s="57"/>
      <c r="J27" s="147"/>
      <c r="K27" s="57"/>
      <c r="L27" s="147"/>
      <c r="M27" s="57"/>
      <c r="N27" s="147"/>
      <c r="O27" s="57"/>
      <c r="P27" s="147"/>
      <c r="Q27" s="57"/>
      <c r="R27" s="147"/>
      <c r="S27" s="57"/>
      <c r="T27" s="147"/>
      <c r="U27" s="57"/>
      <c r="V27" s="147"/>
      <c r="W27" s="53">
        <f>SUM(G27:V28)</f>
        <v>0</v>
      </c>
      <c r="X27" s="1"/>
      <c r="Y27" s="1"/>
      <c r="Z27" s="1"/>
    </row>
    <row r="28" spans="1:26" ht="18" customHeight="1">
      <c r="A28" s="168"/>
      <c r="B28" s="169"/>
      <c r="C28" s="157"/>
      <c r="D28" s="158"/>
      <c r="E28" s="99">
        <v>113</v>
      </c>
      <c r="F28" s="160"/>
      <c r="G28" s="54"/>
      <c r="H28" s="160"/>
      <c r="I28" s="54"/>
      <c r="J28" s="160"/>
      <c r="K28" s="54"/>
      <c r="L28" s="160"/>
      <c r="M28" s="54"/>
      <c r="N28" s="160"/>
      <c r="O28" s="54"/>
      <c r="P28" s="160"/>
      <c r="Q28" s="54"/>
      <c r="R28" s="160"/>
      <c r="S28" s="54"/>
      <c r="T28" s="160"/>
      <c r="U28" s="54"/>
      <c r="V28" s="160"/>
      <c r="W28" s="170"/>
      <c r="X28" s="1"/>
      <c r="Y28" s="1"/>
      <c r="Z28" s="1"/>
    </row>
    <row r="29" spans="1:26" ht="18" customHeight="1">
      <c r="A29" s="58" t="str">
        <f>IFERROR(VLOOKUP(B29,'Employee Numbers'!A1:B125,2,FALSE),"")</f>
        <v/>
      </c>
      <c r="B29" s="62"/>
      <c r="C29" s="148"/>
      <c r="D29" s="149"/>
      <c r="E29" s="63"/>
      <c r="F29" s="147"/>
      <c r="G29" s="52"/>
      <c r="H29" s="147"/>
      <c r="I29" s="52"/>
      <c r="J29" s="147"/>
      <c r="K29" s="52"/>
      <c r="L29" s="147"/>
      <c r="M29" s="52"/>
      <c r="N29" s="147"/>
      <c r="O29" s="52"/>
      <c r="P29" s="147"/>
      <c r="Q29" s="52"/>
      <c r="R29" s="147"/>
      <c r="S29" s="52"/>
      <c r="T29" s="147"/>
      <c r="U29" s="52"/>
      <c r="V29" s="147"/>
      <c r="W29" s="56">
        <f>SUM(G29:V30)</f>
        <v>0</v>
      </c>
      <c r="X29" s="1"/>
      <c r="Y29" s="1"/>
      <c r="Z29" s="1"/>
    </row>
    <row r="30" spans="1:26" ht="18" customHeight="1">
      <c r="A30" s="168"/>
      <c r="B30" s="169"/>
      <c r="C30" s="157"/>
      <c r="D30" s="158"/>
      <c r="E30" s="64">
        <v>113</v>
      </c>
      <c r="F30" s="160"/>
      <c r="G30" s="55"/>
      <c r="H30" s="160"/>
      <c r="I30" s="55"/>
      <c r="J30" s="160"/>
      <c r="K30" s="55"/>
      <c r="L30" s="160"/>
      <c r="M30" s="55"/>
      <c r="N30" s="160"/>
      <c r="O30" s="55"/>
      <c r="P30" s="160"/>
      <c r="Q30" s="55"/>
      <c r="R30" s="160"/>
      <c r="S30" s="55"/>
      <c r="T30" s="160"/>
      <c r="U30" s="55"/>
      <c r="V30" s="160"/>
      <c r="W30" s="170"/>
      <c r="X30" s="1"/>
      <c r="Y30" s="1"/>
      <c r="Z30" s="1"/>
    </row>
    <row r="31" spans="1:26" ht="18" customHeight="1">
      <c r="A31" s="58" t="str">
        <f>IFERROR(VLOOKUP(B31,'Employee Numbers'!A1:B125,2,FALSE),"")</f>
        <v/>
      </c>
      <c r="B31" s="59" t="s">
        <v>34</v>
      </c>
      <c r="C31" s="148"/>
      <c r="D31" s="149"/>
      <c r="E31" s="60">
        <v>208</v>
      </c>
      <c r="F31" s="147"/>
      <c r="G31" s="57"/>
      <c r="H31" s="147"/>
      <c r="I31" s="57"/>
      <c r="J31" s="147"/>
      <c r="K31" s="57"/>
      <c r="L31" s="147"/>
      <c r="M31" s="57"/>
      <c r="N31" s="147"/>
      <c r="O31" s="57"/>
      <c r="P31" s="147"/>
      <c r="Q31" s="57"/>
      <c r="R31" s="147"/>
      <c r="S31" s="57"/>
      <c r="T31" s="147"/>
      <c r="U31" s="57"/>
      <c r="V31" s="147"/>
      <c r="W31" s="53">
        <f>SUM(G31:V32)</f>
        <v>0</v>
      </c>
      <c r="X31" s="1"/>
      <c r="Y31" s="1"/>
      <c r="Z31" s="1"/>
    </row>
    <row r="32" spans="1:26" ht="18" customHeight="1">
      <c r="A32" s="168"/>
      <c r="B32" s="169"/>
      <c r="C32" s="157"/>
      <c r="D32" s="158"/>
      <c r="E32" s="61">
        <v>113</v>
      </c>
      <c r="F32" s="160"/>
      <c r="G32" s="54"/>
      <c r="H32" s="160"/>
      <c r="I32" s="54"/>
      <c r="J32" s="160"/>
      <c r="K32" s="54"/>
      <c r="L32" s="160"/>
      <c r="M32" s="54"/>
      <c r="N32" s="160"/>
      <c r="O32" s="54"/>
      <c r="P32" s="160"/>
      <c r="Q32" s="54"/>
      <c r="R32" s="160"/>
      <c r="S32" s="54"/>
      <c r="T32" s="160"/>
      <c r="U32" s="54"/>
      <c r="V32" s="160"/>
      <c r="W32" s="170"/>
      <c r="X32" s="1"/>
      <c r="Y32" s="1"/>
      <c r="Z32" s="1"/>
    </row>
    <row r="33" spans="1:26" ht="18" customHeight="1">
      <c r="A33" s="58" t="str">
        <f>IFERROR(VLOOKUP(B33,'Employee Numbers'!A1:B125,2,FALSE),"")</f>
        <v/>
      </c>
      <c r="B33" s="62" t="s">
        <v>35</v>
      </c>
      <c r="C33" s="148"/>
      <c r="D33" s="149"/>
      <c r="E33" s="63">
        <v>208</v>
      </c>
      <c r="F33" s="147"/>
      <c r="G33" s="52"/>
      <c r="H33" s="147"/>
      <c r="I33" s="52"/>
      <c r="J33" s="147"/>
      <c r="K33" s="52"/>
      <c r="L33" s="147"/>
      <c r="M33" s="52"/>
      <c r="N33" s="147"/>
      <c r="O33" s="52"/>
      <c r="P33" s="147"/>
      <c r="Q33" s="52"/>
      <c r="R33" s="147"/>
      <c r="S33" s="52"/>
      <c r="T33" s="147"/>
      <c r="U33" s="52"/>
      <c r="V33" s="147"/>
      <c r="W33" s="56">
        <f>SUM(G33:V34)</f>
        <v>0</v>
      </c>
      <c r="X33" s="1"/>
      <c r="Y33" s="1"/>
      <c r="Z33" s="1"/>
    </row>
    <row r="34" spans="1:26" ht="18" customHeight="1">
      <c r="A34" s="168"/>
      <c r="B34" s="169"/>
      <c r="C34" s="157"/>
      <c r="D34" s="158"/>
      <c r="E34" s="64">
        <v>113</v>
      </c>
      <c r="F34" s="160"/>
      <c r="G34" s="55"/>
      <c r="H34" s="160"/>
      <c r="I34" s="55"/>
      <c r="J34" s="160"/>
      <c r="K34" s="55"/>
      <c r="L34" s="160"/>
      <c r="M34" s="55"/>
      <c r="N34" s="160"/>
      <c r="O34" s="55"/>
      <c r="P34" s="160"/>
      <c r="Q34" s="55"/>
      <c r="R34" s="160"/>
      <c r="S34" s="55"/>
      <c r="T34" s="160"/>
      <c r="U34" s="55"/>
      <c r="V34" s="160"/>
      <c r="W34" s="170"/>
      <c r="X34" s="1"/>
      <c r="Y34" s="1"/>
      <c r="Z34" s="1"/>
    </row>
    <row r="35" spans="1:26" ht="18" customHeight="1">
      <c r="A35" s="58"/>
      <c r="B35" s="68" t="s">
        <v>18</v>
      </c>
      <c r="C35" s="148"/>
      <c r="D35" s="148"/>
      <c r="E35" s="148"/>
      <c r="F35" s="149"/>
      <c r="G35" s="67">
        <f>SUM(G11:H34)</f>
        <v>0</v>
      </c>
      <c r="H35" s="149"/>
      <c r="I35" s="67">
        <f>SUM(I11:J34)</f>
        <v>0</v>
      </c>
      <c r="J35" s="149"/>
      <c r="K35" s="67">
        <f>SUM(K11:L34)</f>
        <v>0</v>
      </c>
      <c r="L35" s="149"/>
      <c r="M35" s="67">
        <f>SUM(M11:N34)</f>
        <v>0</v>
      </c>
      <c r="N35" s="149"/>
      <c r="O35" s="67">
        <f>SUM(O11:P34)</f>
        <v>0</v>
      </c>
      <c r="P35" s="149"/>
      <c r="Q35" s="67">
        <f>SUM(Q11:R34)</f>
        <v>0</v>
      </c>
      <c r="R35" s="149"/>
      <c r="S35" s="67">
        <f>SUM(S11:T34)</f>
        <v>0</v>
      </c>
      <c r="T35" s="149"/>
      <c r="U35" s="67">
        <f>SUM(U11:V34)</f>
        <v>0</v>
      </c>
      <c r="V35" s="149"/>
      <c r="W35" s="53"/>
      <c r="X35" s="8"/>
      <c r="Y35" s="8"/>
      <c r="Z35" s="8"/>
    </row>
    <row r="36" spans="1:26" ht="18" customHeight="1">
      <c r="A36" s="168"/>
      <c r="B36" s="169"/>
      <c r="C36" s="157"/>
      <c r="D36" s="157"/>
      <c r="E36" s="157"/>
      <c r="F36" s="158"/>
      <c r="G36" s="169"/>
      <c r="H36" s="158"/>
      <c r="I36" s="169"/>
      <c r="J36" s="158"/>
      <c r="K36" s="169"/>
      <c r="L36" s="158"/>
      <c r="M36" s="169"/>
      <c r="N36" s="158"/>
      <c r="O36" s="169"/>
      <c r="P36" s="158"/>
      <c r="Q36" s="169"/>
      <c r="R36" s="158"/>
      <c r="S36" s="169"/>
      <c r="T36" s="158"/>
      <c r="U36" s="169"/>
      <c r="V36" s="158"/>
      <c r="W36" s="170"/>
      <c r="X36" s="8"/>
      <c r="Y36" s="8"/>
      <c r="Z36" s="8"/>
    </row>
    <row r="37" spans="1:26" ht="24" customHeight="1">
      <c r="A37" s="9" t="s">
        <v>36</v>
      </c>
      <c r="B37" s="43" t="s">
        <v>37</v>
      </c>
      <c r="C37" s="43" t="s">
        <v>38</v>
      </c>
      <c r="D37" s="74" t="s">
        <v>39</v>
      </c>
      <c r="E37" s="146"/>
      <c r="F37" s="147"/>
      <c r="G37" s="10" t="s">
        <v>40</v>
      </c>
      <c r="H37" s="11" t="s">
        <v>41</v>
      </c>
      <c r="I37" s="10" t="s">
        <v>40</v>
      </c>
      <c r="J37" s="11" t="s">
        <v>41</v>
      </c>
      <c r="K37" s="10" t="s">
        <v>40</v>
      </c>
      <c r="L37" s="11" t="s">
        <v>41</v>
      </c>
      <c r="M37" s="10" t="s">
        <v>40</v>
      </c>
      <c r="N37" s="11" t="s">
        <v>41</v>
      </c>
      <c r="O37" s="10" t="s">
        <v>40</v>
      </c>
      <c r="P37" s="11" t="s">
        <v>41</v>
      </c>
      <c r="Q37" s="10" t="s">
        <v>40</v>
      </c>
      <c r="R37" s="11" t="s">
        <v>41</v>
      </c>
      <c r="S37" s="10" t="s">
        <v>40</v>
      </c>
      <c r="T37" s="11" t="s">
        <v>41</v>
      </c>
      <c r="U37" s="73" t="s">
        <v>41</v>
      </c>
      <c r="V37" s="147"/>
      <c r="W37" s="12" t="s">
        <v>18</v>
      </c>
      <c r="X37" s="8"/>
      <c r="Y37" s="8"/>
      <c r="Z37" s="8"/>
    </row>
    <row r="38" spans="1:26" ht="18" customHeight="1">
      <c r="A38" s="13" t="s">
        <v>42</v>
      </c>
      <c r="B38" s="14">
        <v>122</v>
      </c>
      <c r="C38" s="15"/>
      <c r="D38" s="72"/>
      <c r="E38" s="155"/>
      <c r="F38" s="156"/>
      <c r="G38" s="16"/>
      <c r="H38" s="17"/>
      <c r="I38" s="16"/>
      <c r="J38" s="17"/>
      <c r="K38" s="16"/>
      <c r="L38" s="17"/>
      <c r="M38" s="16"/>
      <c r="N38" s="17"/>
      <c r="O38" s="16"/>
      <c r="P38" s="17"/>
      <c r="Q38" s="16"/>
      <c r="R38" s="17"/>
      <c r="S38" s="16"/>
      <c r="T38" s="17"/>
      <c r="U38" s="66"/>
      <c r="V38" s="156"/>
      <c r="W38" s="18">
        <f t="shared" ref="W38:W46" si="0">SUM(G38:V38)</f>
        <v>0</v>
      </c>
      <c r="X38" s="1"/>
      <c r="Y38" s="1"/>
      <c r="Z38" s="1"/>
    </row>
    <row r="39" spans="1:26" ht="18" customHeight="1">
      <c r="A39" s="44" t="s">
        <v>43</v>
      </c>
      <c r="B39" s="19">
        <v>302</v>
      </c>
      <c r="C39" s="20"/>
      <c r="D39" s="71"/>
      <c r="E39" s="148"/>
      <c r="F39" s="149"/>
      <c r="G39" s="21"/>
      <c r="H39" s="22"/>
      <c r="I39" s="21"/>
      <c r="J39" s="22"/>
      <c r="K39" s="21"/>
      <c r="L39" s="22"/>
      <c r="M39" s="21"/>
      <c r="N39" s="22"/>
      <c r="O39" s="21"/>
      <c r="P39" s="22"/>
      <c r="Q39" s="21"/>
      <c r="R39" s="22"/>
      <c r="S39" s="21"/>
      <c r="T39" s="22"/>
      <c r="U39" s="69"/>
      <c r="V39" s="147"/>
      <c r="W39" s="23">
        <f t="shared" si="0"/>
        <v>0</v>
      </c>
      <c r="X39" s="1"/>
      <c r="Y39" s="1"/>
      <c r="Z39" s="1"/>
    </row>
    <row r="40" spans="1:26" ht="18" customHeight="1">
      <c r="A40" s="13" t="s">
        <v>44</v>
      </c>
      <c r="B40" s="14">
        <v>412</v>
      </c>
      <c r="C40" s="15"/>
      <c r="D40" s="72"/>
      <c r="E40" s="155"/>
      <c r="F40" s="156"/>
      <c r="G40" s="16"/>
      <c r="H40" s="17"/>
      <c r="I40" s="16"/>
      <c r="J40" s="17"/>
      <c r="K40" s="16"/>
      <c r="L40" s="17"/>
      <c r="M40" s="16"/>
      <c r="N40" s="17"/>
      <c r="O40" s="16"/>
      <c r="P40" s="17"/>
      <c r="Q40" s="16"/>
      <c r="R40" s="17"/>
      <c r="S40" s="16"/>
      <c r="T40" s="17"/>
      <c r="U40" s="70"/>
      <c r="V40" s="147"/>
      <c r="W40" s="18">
        <f t="shared" si="0"/>
        <v>0</v>
      </c>
      <c r="X40" s="1"/>
      <c r="Y40" s="1"/>
      <c r="Z40" s="1"/>
    </row>
    <row r="41" spans="1:26" ht="18" customHeight="1">
      <c r="A41" s="44" t="s">
        <v>45</v>
      </c>
      <c r="B41" s="19">
        <v>630</v>
      </c>
      <c r="C41" s="20"/>
      <c r="D41" s="71"/>
      <c r="E41" s="148"/>
      <c r="F41" s="149"/>
      <c r="G41" s="21"/>
      <c r="H41" s="22"/>
      <c r="I41" s="21"/>
      <c r="J41" s="22"/>
      <c r="K41" s="21"/>
      <c r="L41" s="22"/>
      <c r="M41" s="21"/>
      <c r="N41" s="22"/>
      <c r="O41" s="21"/>
      <c r="P41" s="22"/>
      <c r="Q41" s="21"/>
      <c r="R41" s="22"/>
      <c r="S41" s="21"/>
      <c r="T41" s="22"/>
      <c r="U41" s="65"/>
      <c r="V41" s="149"/>
      <c r="W41" s="23">
        <f t="shared" si="0"/>
        <v>0</v>
      </c>
      <c r="X41" s="1"/>
      <c r="Y41" s="1"/>
      <c r="Z41" s="1"/>
    </row>
    <row r="42" spans="1:26" ht="18" customHeight="1">
      <c r="A42" s="13" t="s">
        <v>46</v>
      </c>
      <c r="B42" s="14">
        <v>947</v>
      </c>
      <c r="C42" s="15"/>
      <c r="D42" s="72"/>
      <c r="E42" s="155"/>
      <c r="F42" s="156"/>
      <c r="G42" s="16"/>
      <c r="H42" s="17"/>
      <c r="I42" s="16"/>
      <c r="J42" s="17"/>
      <c r="K42" s="16"/>
      <c r="L42" s="17"/>
      <c r="M42" s="16"/>
      <c r="N42" s="17"/>
      <c r="O42" s="16"/>
      <c r="P42" s="17"/>
      <c r="Q42" s="16"/>
      <c r="R42" s="17"/>
      <c r="S42" s="16"/>
      <c r="T42" s="17"/>
      <c r="U42" s="66"/>
      <c r="V42" s="156"/>
      <c r="W42" s="18">
        <f t="shared" si="0"/>
        <v>0</v>
      </c>
      <c r="X42" s="1"/>
      <c r="Y42" s="1"/>
      <c r="Z42" s="1"/>
    </row>
    <row r="43" spans="1:26" ht="18" customHeight="1">
      <c r="A43" s="44"/>
      <c r="B43" s="19"/>
      <c r="C43" s="20"/>
      <c r="D43" s="71"/>
      <c r="E43" s="148"/>
      <c r="F43" s="149"/>
      <c r="G43" s="21"/>
      <c r="H43" s="22"/>
      <c r="I43" s="21"/>
      <c r="J43" s="22"/>
      <c r="K43" s="21"/>
      <c r="L43" s="22"/>
      <c r="M43" s="21"/>
      <c r="N43" s="22"/>
      <c r="O43" s="21"/>
      <c r="P43" s="22"/>
      <c r="Q43" s="21"/>
      <c r="R43" s="22"/>
      <c r="S43" s="21"/>
      <c r="T43" s="22"/>
      <c r="U43" s="65"/>
      <c r="V43" s="149"/>
      <c r="W43" s="23">
        <f t="shared" si="0"/>
        <v>0</v>
      </c>
      <c r="X43" s="1"/>
      <c r="Y43" s="1"/>
      <c r="Z43" s="1"/>
    </row>
    <row r="44" spans="1:26" ht="18" customHeight="1">
      <c r="A44" s="13"/>
      <c r="B44" s="14"/>
      <c r="C44" s="15"/>
      <c r="D44" s="72"/>
      <c r="E44" s="155"/>
      <c r="F44" s="156"/>
      <c r="G44" s="16"/>
      <c r="H44" s="17"/>
      <c r="I44" s="16"/>
      <c r="J44" s="17"/>
      <c r="K44" s="16"/>
      <c r="L44" s="17"/>
      <c r="M44" s="16"/>
      <c r="N44" s="17"/>
      <c r="O44" s="16"/>
      <c r="P44" s="17"/>
      <c r="Q44" s="16"/>
      <c r="R44" s="17"/>
      <c r="S44" s="16"/>
      <c r="T44" s="17"/>
      <c r="U44" s="66"/>
      <c r="V44" s="156"/>
      <c r="W44" s="18">
        <f t="shared" si="0"/>
        <v>0</v>
      </c>
      <c r="X44" s="1"/>
      <c r="Y44" s="1"/>
      <c r="Z44" s="1"/>
    </row>
    <row r="45" spans="1:26" ht="18" customHeight="1">
      <c r="A45" s="44"/>
      <c r="B45" s="19"/>
      <c r="C45" s="20"/>
      <c r="D45" s="71"/>
      <c r="E45" s="148"/>
      <c r="F45" s="149"/>
      <c r="G45" s="21"/>
      <c r="H45" s="22"/>
      <c r="I45" s="21"/>
      <c r="J45" s="22"/>
      <c r="K45" s="21"/>
      <c r="L45" s="22"/>
      <c r="M45" s="21"/>
      <c r="N45" s="22"/>
      <c r="O45" s="21"/>
      <c r="P45" s="22"/>
      <c r="Q45" s="21"/>
      <c r="R45" s="22"/>
      <c r="S45" s="21"/>
      <c r="T45" s="22"/>
      <c r="U45" s="65"/>
      <c r="V45" s="149"/>
      <c r="W45" s="23">
        <f t="shared" si="0"/>
        <v>0</v>
      </c>
      <c r="X45" s="1"/>
      <c r="Y45" s="1"/>
      <c r="Z45" s="1"/>
    </row>
    <row r="46" spans="1:26" ht="18" customHeight="1">
      <c r="A46" s="13"/>
      <c r="B46" s="24"/>
      <c r="C46" s="15"/>
      <c r="D46" s="72"/>
      <c r="E46" s="155"/>
      <c r="F46" s="156"/>
      <c r="G46" s="16"/>
      <c r="H46" s="17"/>
      <c r="I46" s="16"/>
      <c r="J46" s="17"/>
      <c r="K46" s="16"/>
      <c r="L46" s="17"/>
      <c r="M46" s="16"/>
      <c r="N46" s="17"/>
      <c r="O46" s="16"/>
      <c r="P46" s="17"/>
      <c r="Q46" s="16"/>
      <c r="R46" s="17"/>
      <c r="S46" s="16"/>
      <c r="T46" s="17"/>
      <c r="U46" s="66"/>
      <c r="V46" s="156"/>
      <c r="W46" s="18">
        <f t="shared" si="0"/>
        <v>0</v>
      </c>
      <c r="X46" s="1"/>
      <c r="Y46" s="1"/>
      <c r="Z46" s="1"/>
    </row>
    <row r="47" spans="1:26" ht="18" customHeight="1">
      <c r="A47" s="25"/>
      <c r="B47" s="103" t="s">
        <v>18</v>
      </c>
      <c r="C47" s="159"/>
      <c r="D47" s="159"/>
      <c r="E47" s="159"/>
      <c r="F47" s="160"/>
      <c r="G47" s="104">
        <f>SUM(G38:H46)</f>
        <v>0</v>
      </c>
      <c r="H47" s="160"/>
      <c r="I47" s="104">
        <f>SUM(I38:J46)</f>
        <v>0</v>
      </c>
      <c r="J47" s="160"/>
      <c r="K47" s="104">
        <f>SUM(K38:L46)</f>
        <v>0</v>
      </c>
      <c r="L47" s="160"/>
      <c r="M47" s="104">
        <f>SUM(M38:N46)</f>
        <v>0</v>
      </c>
      <c r="N47" s="160"/>
      <c r="O47" s="104">
        <f>SUM(O38:P46)</f>
        <v>0</v>
      </c>
      <c r="P47" s="160"/>
      <c r="Q47" s="104">
        <f>SUM(Q38:R46)</f>
        <v>0</v>
      </c>
      <c r="R47" s="160"/>
      <c r="S47" s="104">
        <f>SUM(S38:T46)</f>
        <v>0</v>
      </c>
      <c r="T47" s="160"/>
      <c r="U47" s="109"/>
      <c r="V47" s="160"/>
      <c r="W47" s="26"/>
      <c r="X47" s="1"/>
      <c r="Y47" s="1"/>
      <c r="Z47" s="1"/>
    </row>
    <row r="48" spans="1:26" ht="18" customHeight="1">
      <c r="A48" s="105" t="s">
        <v>47</v>
      </c>
      <c r="B48" s="171"/>
      <c r="C48" s="172"/>
      <c r="D48" s="106" t="s">
        <v>48</v>
      </c>
      <c r="E48" s="171"/>
      <c r="F48" s="172"/>
      <c r="G48" s="106" t="s">
        <v>49</v>
      </c>
      <c r="H48" s="171"/>
      <c r="I48" s="171"/>
      <c r="J48" s="171"/>
      <c r="K48" s="171"/>
      <c r="L48" s="171"/>
      <c r="M48" s="171"/>
      <c r="N48" s="171"/>
      <c r="O48" s="171"/>
      <c r="P48" s="171"/>
      <c r="Q48" s="171"/>
      <c r="R48" s="171"/>
      <c r="S48" s="171"/>
      <c r="T48" s="171"/>
      <c r="U48" s="171"/>
      <c r="V48" s="172"/>
      <c r="W48" s="28" t="s">
        <v>18</v>
      </c>
      <c r="X48" s="29"/>
      <c r="Y48" s="29"/>
      <c r="Z48" s="29"/>
    </row>
    <row r="49" spans="1:26" ht="18" customHeight="1">
      <c r="A49" s="107"/>
      <c r="B49" s="173"/>
      <c r="C49" s="30"/>
      <c r="D49" s="108"/>
      <c r="E49" s="174"/>
      <c r="F49" s="173"/>
      <c r="G49" s="102"/>
      <c r="H49" s="147"/>
      <c r="I49" s="102"/>
      <c r="J49" s="147"/>
      <c r="K49" s="102"/>
      <c r="L49" s="147"/>
      <c r="M49" s="102"/>
      <c r="N49" s="147"/>
      <c r="O49" s="102"/>
      <c r="P49" s="147"/>
      <c r="Q49" s="102"/>
      <c r="R49" s="147"/>
      <c r="S49" s="102"/>
      <c r="T49" s="147"/>
      <c r="U49" s="102"/>
      <c r="V49" s="147"/>
      <c r="W49" s="31">
        <f t="shared" ref="W49:W53" si="1">SUM(G49:V49)</f>
        <v>0</v>
      </c>
      <c r="X49" s="1"/>
      <c r="Y49" s="1"/>
      <c r="Z49" s="1"/>
    </row>
    <row r="50" spans="1:26" ht="18" customHeight="1">
      <c r="A50" s="114"/>
      <c r="B50" s="147"/>
      <c r="C50" s="32"/>
      <c r="D50" s="118"/>
      <c r="E50" s="155"/>
      <c r="F50" s="156"/>
      <c r="G50" s="116"/>
      <c r="H50" s="147"/>
      <c r="I50" s="101"/>
      <c r="J50" s="156"/>
      <c r="K50" s="101"/>
      <c r="L50" s="156"/>
      <c r="M50" s="101"/>
      <c r="N50" s="156"/>
      <c r="O50" s="101"/>
      <c r="P50" s="156"/>
      <c r="Q50" s="101"/>
      <c r="R50" s="156"/>
      <c r="S50" s="101"/>
      <c r="T50" s="156"/>
      <c r="U50" s="101"/>
      <c r="V50" s="156"/>
      <c r="W50" s="33">
        <f t="shared" si="1"/>
        <v>0</v>
      </c>
      <c r="X50" s="1"/>
      <c r="Y50" s="1"/>
      <c r="Z50" s="1"/>
    </row>
    <row r="51" spans="1:26" ht="18" customHeight="1">
      <c r="A51" s="117"/>
      <c r="B51" s="147"/>
      <c r="C51" s="34"/>
      <c r="D51" s="110"/>
      <c r="E51" s="155"/>
      <c r="F51" s="156"/>
      <c r="G51" s="102"/>
      <c r="H51" s="147"/>
      <c r="I51" s="115"/>
      <c r="J51" s="156"/>
      <c r="K51" s="115"/>
      <c r="L51" s="156"/>
      <c r="M51" s="115"/>
      <c r="N51" s="156"/>
      <c r="O51" s="115"/>
      <c r="P51" s="156"/>
      <c r="Q51" s="115"/>
      <c r="R51" s="156"/>
      <c r="S51" s="115"/>
      <c r="T51" s="156"/>
      <c r="U51" s="115"/>
      <c r="V51" s="156"/>
      <c r="W51" s="31">
        <f t="shared" si="1"/>
        <v>0</v>
      </c>
      <c r="X51" s="1"/>
      <c r="Y51" s="1"/>
      <c r="Z51" s="1"/>
    </row>
    <row r="52" spans="1:26" ht="18" customHeight="1">
      <c r="A52" s="114"/>
      <c r="B52" s="147"/>
      <c r="C52" s="32"/>
      <c r="D52" s="111"/>
      <c r="E52" s="155"/>
      <c r="F52" s="156"/>
      <c r="G52" s="116"/>
      <c r="H52" s="147"/>
      <c r="I52" s="101"/>
      <c r="J52" s="156"/>
      <c r="K52" s="101"/>
      <c r="L52" s="156"/>
      <c r="M52" s="101"/>
      <c r="N52" s="156"/>
      <c r="O52" s="101"/>
      <c r="P52" s="156"/>
      <c r="Q52" s="101"/>
      <c r="R52" s="156"/>
      <c r="S52" s="101"/>
      <c r="T52" s="156"/>
      <c r="U52" s="101"/>
      <c r="V52" s="156"/>
      <c r="W52" s="33">
        <f t="shared" si="1"/>
        <v>0</v>
      </c>
      <c r="X52" s="1"/>
      <c r="Y52" s="1"/>
      <c r="Z52" s="1"/>
    </row>
    <row r="53" spans="1:26" ht="18" customHeight="1">
      <c r="A53" s="119"/>
      <c r="B53" s="158"/>
      <c r="C53" s="35"/>
      <c r="D53" s="112"/>
      <c r="E53" s="159"/>
      <c r="F53" s="160"/>
      <c r="G53" s="102"/>
      <c r="H53" s="147"/>
      <c r="I53" s="113"/>
      <c r="J53" s="160"/>
      <c r="K53" s="113"/>
      <c r="L53" s="160"/>
      <c r="M53" s="113"/>
      <c r="N53" s="160"/>
      <c r="O53" s="113"/>
      <c r="P53" s="160"/>
      <c r="Q53" s="113"/>
      <c r="R53" s="160"/>
      <c r="S53" s="113"/>
      <c r="T53" s="160"/>
      <c r="U53" s="113"/>
      <c r="V53" s="160"/>
      <c r="W53" s="31">
        <f t="shared" si="1"/>
        <v>0</v>
      </c>
      <c r="X53" s="1"/>
      <c r="Y53" s="1"/>
      <c r="Z53" s="1"/>
    </row>
    <row r="54" spans="1:26" ht="18" customHeight="1">
      <c r="A54" s="120" t="s">
        <v>50</v>
      </c>
      <c r="B54" s="157"/>
      <c r="C54" s="158"/>
      <c r="D54" s="106" t="s">
        <v>48</v>
      </c>
      <c r="E54" s="171"/>
      <c r="F54" s="172"/>
      <c r="G54" s="106" t="s">
        <v>51</v>
      </c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  <c r="V54" s="172"/>
      <c r="W54" s="28" t="s">
        <v>18</v>
      </c>
      <c r="X54" s="29"/>
      <c r="Y54" s="29"/>
      <c r="Z54" s="29"/>
    </row>
    <row r="55" spans="1:26" ht="18" customHeight="1">
      <c r="A55" s="107"/>
      <c r="B55" s="174"/>
      <c r="C55" s="173"/>
      <c r="D55" s="108"/>
      <c r="E55" s="174"/>
      <c r="F55" s="173"/>
      <c r="G55" s="102"/>
      <c r="H55" s="147"/>
      <c r="I55" s="102"/>
      <c r="J55" s="147"/>
      <c r="K55" s="102"/>
      <c r="L55" s="147"/>
      <c r="M55" s="102"/>
      <c r="N55" s="147"/>
      <c r="O55" s="102"/>
      <c r="P55" s="147"/>
      <c r="Q55" s="102"/>
      <c r="R55" s="147"/>
      <c r="S55" s="102"/>
      <c r="T55" s="147"/>
      <c r="U55" s="102"/>
      <c r="V55" s="147"/>
      <c r="W55" s="31">
        <f t="shared" ref="W55:W60" si="2">SUM(G55:V55)</f>
        <v>0</v>
      </c>
      <c r="X55" s="1"/>
      <c r="Y55" s="1"/>
      <c r="Z55" s="1"/>
    </row>
    <row r="56" spans="1:26" ht="18" customHeight="1">
      <c r="A56" s="121"/>
      <c r="B56" s="155"/>
      <c r="C56" s="156"/>
      <c r="D56" s="118"/>
      <c r="E56" s="155"/>
      <c r="F56" s="156"/>
      <c r="G56" s="101"/>
      <c r="H56" s="156"/>
      <c r="I56" s="101"/>
      <c r="J56" s="156"/>
      <c r="K56" s="101"/>
      <c r="L56" s="156"/>
      <c r="M56" s="101"/>
      <c r="N56" s="156"/>
      <c r="O56" s="101"/>
      <c r="P56" s="156"/>
      <c r="Q56" s="101"/>
      <c r="R56" s="156"/>
      <c r="S56" s="101"/>
      <c r="T56" s="156"/>
      <c r="U56" s="101"/>
      <c r="V56" s="156"/>
      <c r="W56" s="33">
        <f t="shared" si="2"/>
        <v>0</v>
      </c>
      <c r="X56" s="1"/>
      <c r="Y56" s="1"/>
      <c r="Z56" s="1"/>
    </row>
    <row r="57" spans="1:26" ht="18" customHeight="1">
      <c r="A57" s="122"/>
      <c r="B57" s="155"/>
      <c r="C57" s="156"/>
      <c r="D57" s="123"/>
      <c r="E57" s="155"/>
      <c r="F57" s="156"/>
      <c r="G57" s="115"/>
      <c r="H57" s="156"/>
      <c r="I57" s="115"/>
      <c r="J57" s="156"/>
      <c r="K57" s="115"/>
      <c r="L57" s="156"/>
      <c r="M57" s="115"/>
      <c r="N57" s="156"/>
      <c r="O57" s="115"/>
      <c r="P57" s="156"/>
      <c r="Q57" s="115"/>
      <c r="R57" s="156"/>
      <c r="S57" s="115"/>
      <c r="T57" s="156"/>
      <c r="U57" s="115"/>
      <c r="V57" s="156"/>
      <c r="W57" s="31">
        <f t="shared" si="2"/>
        <v>0</v>
      </c>
      <c r="X57" s="1"/>
      <c r="Y57" s="1"/>
      <c r="Z57" s="1"/>
    </row>
    <row r="58" spans="1:26" ht="18" customHeight="1">
      <c r="A58" s="114"/>
      <c r="B58" s="146"/>
      <c r="C58" s="147"/>
      <c r="D58" s="118"/>
      <c r="E58" s="155"/>
      <c r="F58" s="156"/>
      <c r="G58" s="101"/>
      <c r="H58" s="156"/>
      <c r="I58" s="101"/>
      <c r="J58" s="156"/>
      <c r="K58" s="101"/>
      <c r="L58" s="156"/>
      <c r="M58" s="101"/>
      <c r="N58" s="156"/>
      <c r="O58" s="101"/>
      <c r="P58" s="156"/>
      <c r="Q58" s="101"/>
      <c r="R58" s="156"/>
      <c r="S58" s="101"/>
      <c r="T58" s="156"/>
      <c r="U58" s="101"/>
      <c r="V58" s="156"/>
      <c r="W58" s="33">
        <f t="shared" si="2"/>
        <v>0</v>
      </c>
      <c r="X58" s="1"/>
      <c r="Y58" s="1"/>
      <c r="Z58" s="1"/>
    </row>
    <row r="59" spans="1:26" ht="18" customHeight="1">
      <c r="A59" s="122"/>
      <c r="B59" s="155"/>
      <c r="C59" s="156"/>
      <c r="D59" s="123"/>
      <c r="E59" s="155"/>
      <c r="F59" s="156"/>
      <c r="G59" s="115"/>
      <c r="H59" s="156"/>
      <c r="I59" s="115"/>
      <c r="J59" s="156"/>
      <c r="K59" s="115"/>
      <c r="L59" s="156"/>
      <c r="M59" s="115"/>
      <c r="N59" s="156"/>
      <c r="O59" s="115"/>
      <c r="P59" s="156"/>
      <c r="Q59" s="115"/>
      <c r="R59" s="156"/>
      <c r="S59" s="115"/>
      <c r="T59" s="156"/>
      <c r="U59" s="115"/>
      <c r="V59" s="156"/>
      <c r="W59" s="31">
        <f t="shared" si="2"/>
        <v>0</v>
      </c>
      <c r="X59" s="1"/>
      <c r="Y59" s="1"/>
      <c r="Z59" s="1"/>
    </row>
    <row r="60" spans="1:26" ht="18" customHeight="1">
      <c r="A60" s="114"/>
      <c r="B60" s="146"/>
      <c r="C60" s="147"/>
      <c r="D60" s="130"/>
      <c r="E60" s="157"/>
      <c r="F60" s="158"/>
      <c r="G60" s="129"/>
      <c r="H60" s="160"/>
      <c r="I60" s="129"/>
      <c r="J60" s="160"/>
      <c r="K60" s="129"/>
      <c r="L60" s="160"/>
      <c r="M60" s="129"/>
      <c r="N60" s="160"/>
      <c r="O60" s="129"/>
      <c r="P60" s="160"/>
      <c r="Q60" s="129"/>
      <c r="R60" s="160"/>
      <c r="S60" s="129"/>
      <c r="T60" s="160"/>
      <c r="U60" s="129"/>
      <c r="V60" s="160"/>
      <c r="W60" s="33">
        <f t="shared" si="2"/>
        <v>0</v>
      </c>
      <c r="X60" s="1"/>
      <c r="Y60" s="1"/>
      <c r="Z60" s="1"/>
    </row>
    <row r="61" spans="1:26" ht="18" customHeight="1">
      <c r="A61" s="105" t="s">
        <v>52</v>
      </c>
      <c r="B61" s="171"/>
      <c r="C61" s="172"/>
      <c r="D61" s="106" t="s">
        <v>53</v>
      </c>
      <c r="E61" s="171"/>
      <c r="F61" s="172"/>
      <c r="G61" s="106" t="s">
        <v>54</v>
      </c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2"/>
      <c r="W61" s="28" t="s">
        <v>18</v>
      </c>
      <c r="X61" s="29"/>
      <c r="Y61" s="29"/>
      <c r="Z61" s="29"/>
    </row>
    <row r="62" spans="1:26" ht="18" customHeight="1">
      <c r="A62" s="117"/>
      <c r="B62" s="146"/>
      <c r="C62" s="147"/>
      <c r="D62" s="128"/>
      <c r="E62" s="146"/>
      <c r="F62" s="147"/>
      <c r="G62" s="128"/>
      <c r="H62" s="147"/>
      <c r="I62" s="128"/>
      <c r="J62" s="147"/>
      <c r="K62" s="128"/>
      <c r="L62" s="147"/>
      <c r="M62" s="128"/>
      <c r="N62" s="147"/>
      <c r="O62" s="128"/>
      <c r="P62" s="147"/>
      <c r="Q62" s="128"/>
      <c r="R62" s="147"/>
      <c r="S62" s="128"/>
      <c r="T62" s="147"/>
      <c r="U62" s="128"/>
      <c r="V62" s="147"/>
      <c r="W62" s="31">
        <f t="shared" ref="W62:W64" si="3">SUM(G62:V62)</f>
        <v>0</v>
      </c>
      <c r="X62" s="1"/>
      <c r="Y62" s="1"/>
      <c r="Z62" s="1"/>
    </row>
    <row r="63" spans="1:26" ht="18" customHeight="1">
      <c r="A63" s="114"/>
      <c r="B63" s="146"/>
      <c r="C63" s="147"/>
      <c r="D63" s="131"/>
      <c r="E63" s="155"/>
      <c r="F63" s="156"/>
      <c r="G63" s="131"/>
      <c r="H63" s="156"/>
      <c r="I63" s="131"/>
      <c r="J63" s="156"/>
      <c r="K63" s="131"/>
      <c r="L63" s="156"/>
      <c r="M63" s="131"/>
      <c r="N63" s="156"/>
      <c r="O63" s="131"/>
      <c r="P63" s="156"/>
      <c r="Q63" s="131"/>
      <c r="R63" s="156"/>
      <c r="S63" s="131"/>
      <c r="T63" s="156"/>
      <c r="U63" s="131"/>
      <c r="V63" s="156"/>
      <c r="W63" s="33">
        <f t="shared" si="3"/>
        <v>0</v>
      </c>
      <c r="X63" s="1"/>
      <c r="Y63" s="1"/>
      <c r="Z63" s="1"/>
    </row>
    <row r="64" spans="1:26" ht="18" customHeight="1">
      <c r="A64" s="117"/>
      <c r="B64" s="146"/>
      <c r="C64" s="147"/>
      <c r="D64" s="132"/>
      <c r="E64" s="159"/>
      <c r="F64" s="160"/>
      <c r="G64" s="132"/>
      <c r="H64" s="160"/>
      <c r="I64" s="132"/>
      <c r="J64" s="160"/>
      <c r="K64" s="132"/>
      <c r="L64" s="160"/>
      <c r="M64" s="132"/>
      <c r="N64" s="160"/>
      <c r="O64" s="132"/>
      <c r="P64" s="160"/>
      <c r="Q64" s="132"/>
      <c r="R64" s="160"/>
      <c r="S64" s="132"/>
      <c r="T64" s="160"/>
      <c r="U64" s="132"/>
      <c r="V64" s="160"/>
      <c r="W64" s="31">
        <f t="shared" si="3"/>
        <v>0</v>
      </c>
      <c r="X64" s="1"/>
      <c r="Y64" s="1"/>
      <c r="Z64" s="1"/>
    </row>
    <row r="65" spans="1:26" ht="18" customHeight="1">
      <c r="A65" s="135"/>
      <c r="B65" s="137"/>
      <c r="C65" s="137"/>
      <c r="D65" s="137"/>
      <c r="E65" s="137"/>
      <c r="F65" s="137"/>
      <c r="G65" s="136"/>
      <c r="H65" s="144"/>
      <c r="I65" s="136"/>
      <c r="J65" s="144"/>
      <c r="K65" s="136"/>
      <c r="L65" s="144"/>
      <c r="M65" s="136"/>
      <c r="N65" s="144"/>
      <c r="O65" s="133"/>
      <c r="P65" s="144"/>
      <c r="Q65" s="133"/>
      <c r="R65" s="144"/>
      <c r="S65" s="133"/>
      <c r="T65" s="144"/>
      <c r="U65" s="133"/>
      <c r="V65" s="144"/>
      <c r="W65" s="134"/>
      <c r="X65" s="1"/>
      <c r="Y65" s="1"/>
      <c r="Z65" s="1"/>
    </row>
    <row r="66" spans="1:26" ht="18" customHeight="1">
      <c r="A66" s="175"/>
      <c r="B66" s="157"/>
      <c r="C66" s="157"/>
      <c r="D66" s="157"/>
      <c r="E66" s="157"/>
      <c r="F66" s="157"/>
      <c r="G66" s="175"/>
      <c r="H66" s="176"/>
      <c r="I66" s="175"/>
      <c r="J66" s="176"/>
      <c r="K66" s="175"/>
      <c r="L66" s="176"/>
      <c r="M66" s="175"/>
      <c r="N66" s="176"/>
      <c r="O66" s="175"/>
      <c r="P66" s="176"/>
      <c r="Q66" s="175"/>
      <c r="R66" s="176"/>
      <c r="S66" s="175"/>
      <c r="T66" s="176"/>
      <c r="U66" s="175"/>
      <c r="V66" s="176"/>
      <c r="W66" s="177"/>
      <c r="X66" s="1"/>
      <c r="Y66" s="1"/>
      <c r="Z66" s="1"/>
    </row>
    <row r="67" spans="1:26" ht="14.25" customHeight="1">
      <c r="A67" s="124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44"/>
      <c r="X67" s="1"/>
      <c r="Y67" s="1"/>
      <c r="Z67" s="1"/>
    </row>
    <row r="68" spans="1:26" ht="18" customHeight="1">
      <c r="A68" s="125"/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53"/>
      <c r="X68" s="1"/>
      <c r="Y68" s="1"/>
      <c r="Z68" s="1"/>
    </row>
    <row r="69" spans="1:26" ht="18" customHeight="1">
      <c r="A69" s="178"/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53"/>
      <c r="X69" s="1"/>
      <c r="Y69" s="1"/>
      <c r="Z69" s="1"/>
    </row>
    <row r="70" spans="1:26" ht="18" customHeight="1">
      <c r="A70" s="125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53"/>
      <c r="X70" s="1"/>
      <c r="Y70" s="1"/>
      <c r="Z70" s="1"/>
    </row>
    <row r="71" spans="1:26" ht="18" customHeight="1">
      <c r="A71" s="178"/>
      <c r="B71" s="148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53"/>
      <c r="X71" s="1"/>
      <c r="Y71" s="1"/>
      <c r="Z71" s="1"/>
    </row>
    <row r="72" spans="1:26" ht="18" customHeight="1">
      <c r="A72" s="126"/>
      <c r="B72" s="148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53"/>
      <c r="X72" s="1"/>
      <c r="Y72" s="1"/>
      <c r="Z72" s="1"/>
    </row>
    <row r="73" spans="1:26" ht="18" customHeight="1">
      <c r="A73" s="178"/>
      <c r="B73" s="148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53"/>
      <c r="X73" s="1"/>
      <c r="Y73" s="1"/>
      <c r="Z73" s="1"/>
    </row>
    <row r="74" spans="1:26" ht="19.5" customHeight="1">
      <c r="A74" s="27" t="s">
        <v>25</v>
      </c>
      <c r="B74" s="36" t="b">
        <v>0</v>
      </c>
      <c r="C74" s="127" t="s">
        <v>55</v>
      </c>
      <c r="D74" s="171"/>
      <c r="E74" s="171"/>
      <c r="F74" s="171"/>
      <c r="G74" s="171"/>
      <c r="H74" s="171"/>
      <c r="I74" s="127"/>
      <c r="J74" s="171"/>
      <c r="K74" s="171"/>
      <c r="L74" s="171"/>
      <c r="M74" s="171"/>
      <c r="N74" s="171"/>
      <c r="O74" s="127"/>
      <c r="P74" s="171"/>
      <c r="Q74" s="171"/>
      <c r="R74" s="171"/>
      <c r="S74" s="171"/>
      <c r="T74" s="171"/>
      <c r="U74" s="171"/>
      <c r="V74" s="171"/>
      <c r="W74" s="179"/>
      <c r="X74" s="1"/>
      <c r="Y74" s="1"/>
      <c r="Z74" s="1"/>
    </row>
    <row r="75" spans="1:26" ht="19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9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9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9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497">
    <mergeCell ref="S65:T66"/>
    <mergeCell ref="U65:V66"/>
    <mergeCell ref="W65:W66"/>
    <mergeCell ref="A65:F66"/>
    <mergeCell ref="G65:H66"/>
    <mergeCell ref="I65:J66"/>
    <mergeCell ref="K65:L66"/>
    <mergeCell ref="M65:N66"/>
    <mergeCell ref="O65:P66"/>
    <mergeCell ref="Q65:R66"/>
    <mergeCell ref="Q64:R64"/>
    <mergeCell ref="S64:T64"/>
    <mergeCell ref="U64:V64"/>
    <mergeCell ref="A64:C64"/>
    <mergeCell ref="D64:F64"/>
    <mergeCell ref="G64:H64"/>
    <mergeCell ref="I64:J64"/>
    <mergeCell ref="K64:L64"/>
    <mergeCell ref="M64:N64"/>
    <mergeCell ref="O64:P64"/>
    <mergeCell ref="M63:N63"/>
    <mergeCell ref="O63:P63"/>
    <mergeCell ref="Q63:R63"/>
    <mergeCell ref="S63:T63"/>
    <mergeCell ref="U63:V63"/>
    <mergeCell ref="K62:L62"/>
    <mergeCell ref="M62:N62"/>
    <mergeCell ref="A63:C63"/>
    <mergeCell ref="D63:F63"/>
    <mergeCell ref="G63:H63"/>
    <mergeCell ref="I63:J63"/>
    <mergeCell ref="K63:L63"/>
    <mergeCell ref="O62:P62"/>
    <mergeCell ref="Q62:R62"/>
    <mergeCell ref="S62:T62"/>
    <mergeCell ref="U62:V62"/>
    <mergeCell ref="A61:C61"/>
    <mergeCell ref="D61:F61"/>
    <mergeCell ref="G61:V61"/>
    <mergeCell ref="A62:C62"/>
    <mergeCell ref="D62:F62"/>
    <mergeCell ref="G62:H62"/>
    <mergeCell ref="I62:J62"/>
    <mergeCell ref="K59:L59"/>
    <mergeCell ref="M59:N59"/>
    <mergeCell ref="O59:P59"/>
    <mergeCell ref="Q60:R60"/>
    <mergeCell ref="S60:T60"/>
    <mergeCell ref="U60:V60"/>
    <mergeCell ref="A60:C60"/>
    <mergeCell ref="D60:F60"/>
    <mergeCell ref="G60:H60"/>
    <mergeCell ref="I60:J60"/>
    <mergeCell ref="K60:L60"/>
    <mergeCell ref="M60:N60"/>
    <mergeCell ref="O60:P60"/>
    <mergeCell ref="A67:W67"/>
    <mergeCell ref="A68:W69"/>
    <mergeCell ref="A70:W71"/>
    <mergeCell ref="A72:W73"/>
    <mergeCell ref="C74:H74"/>
    <mergeCell ref="I74:N74"/>
    <mergeCell ref="O74:W74"/>
    <mergeCell ref="Q58:R58"/>
    <mergeCell ref="S58:T58"/>
    <mergeCell ref="U58:V58"/>
    <mergeCell ref="A58:C58"/>
    <mergeCell ref="D58:F58"/>
    <mergeCell ref="G58:H58"/>
    <mergeCell ref="I58:J58"/>
    <mergeCell ref="K58:L58"/>
    <mergeCell ref="M58:N58"/>
    <mergeCell ref="O58:P58"/>
    <mergeCell ref="Q59:R59"/>
    <mergeCell ref="S59:T59"/>
    <mergeCell ref="U59:V59"/>
    <mergeCell ref="A59:C59"/>
    <mergeCell ref="D59:F59"/>
    <mergeCell ref="G59:H59"/>
    <mergeCell ref="I59:J59"/>
    <mergeCell ref="Q57:R57"/>
    <mergeCell ref="S57:T57"/>
    <mergeCell ref="U57:V57"/>
    <mergeCell ref="A57:C57"/>
    <mergeCell ref="D57:F57"/>
    <mergeCell ref="G57:H57"/>
    <mergeCell ref="I57:J57"/>
    <mergeCell ref="K57:L57"/>
    <mergeCell ref="M57:N57"/>
    <mergeCell ref="O57:P57"/>
    <mergeCell ref="A53:B53"/>
    <mergeCell ref="A54:C54"/>
    <mergeCell ref="D54:F54"/>
    <mergeCell ref="A55:C55"/>
    <mergeCell ref="D55:F55"/>
    <mergeCell ref="G55:H55"/>
    <mergeCell ref="Q56:R56"/>
    <mergeCell ref="S56:T56"/>
    <mergeCell ref="U56:V56"/>
    <mergeCell ref="A56:C56"/>
    <mergeCell ref="D56:F56"/>
    <mergeCell ref="G56:H56"/>
    <mergeCell ref="I56:J56"/>
    <mergeCell ref="K56:L56"/>
    <mergeCell ref="M56:N56"/>
    <mergeCell ref="O56:P56"/>
    <mergeCell ref="I55:J55"/>
    <mergeCell ref="K55:L55"/>
    <mergeCell ref="M55:N55"/>
    <mergeCell ref="O55:P55"/>
    <mergeCell ref="Q55:R55"/>
    <mergeCell ref="S55:T55"/>
    <mergeCell ref="U55:V55"/>
    <mergeCell ref="U53:V53"/>
    <mergeCell ref="G51:H51"/>
    <mergeCell ref="I51:J51"/>
    <mergeCell ref="K51:L51"/>
    <mergeCell ref="K52:L52"/>
    <mergeCell ref="O53:P53"/>
    <mergeCell ref="Q53:R53"/>
    <mergeCell ref="S53:T53"/>
    <mergeCell ref="O49:P49"/>
    <mergeCell ref="Q49:R49"/>
    <mergeCell ref="S49:T49"/>
    <mergeCell ref="G50:H50"/>
    <mergeCell ref="I50:J50"/>
    <mergeCell ref="K50:L50"/>
    <mergeCell ref="M50:N50"/>
    <mergeCell ref="O50:P50"/>
    <mergeCell ref="Q50:R50"/>
    <mergeCell ref="S50:T50"/>
    <mergeCell ref="G54:V54"/>
    <mergeCell ref="D51:F51"/>
    <mergeCell ref="D52:F52"/>
    <mergeCell ref="D53:F53"/>
    <mergeCell ref="G53:H53"/>
    <mergeCell ref="I53:J53"/>
    <mergeCell ref="K53:L53"/>
    <mergeCell ref="M53:N53"/>
    <mergeCell ref="A50:B50"/>
    <mergeCell ref="M51:N51"/>
    <mergeCell ref="O51:P51"/>
    <mergeCell ref="Q51:R51"/>
    <mergeCell ref="S51:T51"/>
    <mergeCell ref="U51:V51"/>
    <mergeCell ref="G52:H52"/>
    <mergeCell ref="I52:J52"/>
    <mergeCell ref="M52:N52"/>
    <mergeCell ref="O52:P52"/>
    <mergeCell ref="Q52:R52"/>
    <mergeCell ref="S52:T52"/>
    <mergeCell ref="U52:V52"/>
    <mergeCell ref="A51:B51"/>
    <mergeCell ref="A52:B52"/>
    <mergeCell ref="D50:F50"/>
    <mergeCell ref="U50:V50"/>
    <mergeCell ref="G49:H49"/>
    <mergeCell ref="I49:J49"/>
    <mergeCell ref="B47:F47"/>
    <mergeCell ref="G47:H47"/>
    <mergeCell ref="I47:J47"/>
    <mergeCell ref="K47:L47"/>
    <mergeCell ref="K49:L49"/>
    <mergeCell ref="M49:N49"/>
    <mergeCell ref="A48:C48"/>
    <mergeCell ref="D48:F48"/>
    <mergeCell ref="G48:V48"/>
    <mergeCell ref="A49:B49"/>
    <mergeCell ref="U49:V49"/>
    <mergeCell ref="D49:F49"/>
    <mergeCell ref="M47:N47"/>
    <mergeCell ref="O47:P47"/>
    <mergeCell ref="Q47:R47"/>
    <mergeCell ref="S47:T47"/>
    <mergeCell ref="U47:V47"/>
    <mergeCell ref="A25:A26"/>
    <mergeCell ref="A27:A28"/>
    <mergeCell ref="B27:D28"/>
    <mergeCell ref="E27:F27"/>
    <mergeCell ref="G27:H27"/>
    <mergeCell ref="E28:F28"/>
    <mergeCell ref="G28:H28"/>
    <mergeCell ref="E30:F30"/>
    <mergeCell ref="G30:H30"/>
    <mergeCell ref="B25:D26"/>
    <mergeCell ref="E25:F25"/>
    <mergeCell ref="G25:H25"/>
    <mergeCell ref="A29:A30"/>
    <mergeCell ref="B29:D30"/>
    <mergeCell ref="E29:F29"/>
    <mergeCell ref="G29:H29"/>
    <mergeCell ref="E26:F26"/>
    <mergeCell ref="G26:H26"/>
    <mergeCell ref="W27:W28"/>
    <mergeCell ref="S28:T28"/>
    <mergeCell ref="U28:V28"/>
    <mergeCell ref="I26:J26"/>
    <mergeCell ref="K26:L26"/>
    <mergeCell ref="I27:J27"/>
    <mergeCell ref="K27:L27"/>
    <mergeCell ref="M27:N27"/>
    <mergeCell ref="O27:P27"/>
    <mergeCell ref="Q27:R27"/>
    <mergeCell ref="I28:J28"/>
    <mergeCell ref="K28:L28"/>
    <mergeCell ref="M28:N28"/>
    <mergeCell ref="O28:P28"/>
    <mergeCell ref="Q28:R28"/>
    <mergeCell ref="W25:W26"/>
    <mergeCell ref="I25:J25"/>
    <mergeCell ref="K25:L25"/>
    <mergeCell ref="M25:N25"/>
    <mergeCell ref="M26:N26"/>
    <mergeCell ref="S27:T27"/>
    <mergeCell ref="U27:V27"/>
    <mergeCell ref="S26:T26"/>
    <mergeCell ref="U26:V26"/>
    <mergeCell ref="O25:P25"/>
    <mergeCell ref="Q25:R25"/>
    <mergeCell ref="S25:T25"/>
    <mergeCell ref="U25:V25"/>
    <mergeCell ref="O26:P26"/>
    <mergeCell ref="Q26:R26"/>
    <mergeCell ref="G24:H24"/>
    <mergeCell ref="I24:J24"/>
    <mergeCell ref="K24:L24"/>
    <mergeCell ref="M24:N24"/>
    <mergeCell ref="O24:P24"/>
    <mergeCell ref="Q24:R24"/>
    <mergeCell ref="E22:F22"/>
    <mergeCell ref="G22:H22"/>
    <mergeCell ref="A23:A24"/>
    <mergeCell ref="B23:D24"/>
    <mergeCell ref="E23:F23"/>
    <mergeCell ref="G23:H23"/>
    <mergeCell ref="E24:F24"/>
    <mergeCell ref="A21:A22"/>
    <mergeCell ref="B21:D22"/>
    <mergeCell ref="E21:F21"/>
    <mergeCell ref="G21:H21"/>
    <mergeCell ref="I21:J21"/>
    <mergeCell ref="K21:L21"/>
    <mergeCell ref="M21:N21"/>
    <mergeCell ref="O21:P21"/>
    <mergeCell ref="Q21:R21"/>
    <mergeCell ref="U23:V23"/>
    <mergeCell ref="W23:W24"/>
    <mergeCell ref="S24:T24"/>
    <mergeCell ref="U24:V24"/>
    <mergeCell ref="I22:J22"/>
    <mergeCell ref="K22:L22"/>
    <mergeCell ref="I23:J23"/>
    <mergeCell ref="K23:L23"/>
    <mergeCell ref="M23:N23"/>
    <mergeCell ref="O23:P23"/>
    <mergeCell ref="Q23:R23"/>
    <mergeCell ref="M22:N22"/>
    <mergeCell ref="S23:T23"/>
    <mergeCell ref="S22:T22"/>
    <mergeCell ref="U22:V22"/>
    <mergeCell ref="O19:P19"/>
    <mergeCell ref="Q19:R19"/>
    <mergeCell ref="S21:T21"/>
    <mergeCell ref="U21:V21"/>
    <mergeCell ref="W21:W22"/>
    <mergeCell ref="O22:P22"/>
    <mergeCell ref="Q22:R22"/>
    <mergeCell ref="S17:T17"/>
    <mergeCell ref="U17:V17"/>
    <mergeCell ref="W17:W18"/>
    <mergeCell ref="O18:P18"/>
    <mergeCell ref="Q18:R18"/>
    <mergeCell ref="S18:T18"/>
    <mergeCell ref="U18:V18"/>
    <mergeCell ref="S19:T19"/>
    <mergeCell ref="U19:V19"/>
    <mergeCell ref="W19:W20"/>
    <mergeCell ref="S20:T20"/>
    <mergeCell ref="U20:V20"/>
    <mergeCell ref="O17:P17"/>
    <mergeCell ref="Q17:R17"/>
    <mergeCell ref="G16:H16"/>
    <mergeCell ref="I16:J16"/>
    <mergeCell ref="A15:A16"/>
    <mergeCell ref="B15:D16"/>
    <mergeCell ref="E15:F15"/>
    <mergeCell ref="G15:H15"/>
    <mergeCell ref="E16:F16"/>
    <mergeCell ref="I18:J18"/>
    <mergeCell ref="I19:J19"/>
    <mergeCell ref="I15:J15"/>
    <mergeCell ref="K20:L20"/>
    <mergeCell ref="M20:N20"/>
    <mergeCell ref="O20:P20"/>
    <mergeCell ref="Q20:R20"/>
    <mergeCell ref="K19:L19"/>
    <mergeCell ref="A17:A18"/>
    <mergeCell ref="B17:D18"/>
    <mergeCell ref="E17:F17"/>
    <mergeCell ref="G17:H17"/>
    <mergeCell ref="I17:J17"/>
    <mergeCell ref="K17:L17"/>
    <mergeCell ref="M17:N17"/>
    <mergeCell ref="M18:N18"/>
    <mergeCell ref="E18:F18"/>
    <mergeCell ref="G18:H18"/>
    <mergeCell ref="K18:L18"/>
    <mergeCell ref="A19:A20"/>
    <mergeCell ref="B19:D20"/>
    <mergeCell ref="E19:F19"/>
    <mergeCell ref="G19:H19"/>
    <mergeCell ref="E20:F20"/>
    <mergeCell ref="G20:H20"/>
    <mergeCell ref="I20:J20"/>
    <mergeCell ref="M19:N19"/>
    <mergeCell ref="K16:L16"/>
    <mergeCell ref="M16:N16"/>
    <mergeCell ref="O16:P16"/>
    <mergeCell ref="Q16:R16"/>
    <mergeCell ref="K14:L14"/>
    <mergeCell ref="K15:L15"/>
    <mergeCell ref="M15:N15"/>
    <mergeCell ref="O15:P15"/>
    <mergeCell ref="Q15:R15"/>
    <mergeCell ref="S14:T14"/>
    <mergeCell ref="U14:V14"/>
    <mergeCell ref="S15:T15"/>
    <mergeCell ref="U15:V15"/>
    <mergeCell ref="W15:W16"/>
    <mergeCell ref="S16:T16"/>
    <mergeCell ref="U16:V16"/>
    <mergeCell ref="O13:P13"/>
    <mergeCell ref="Q13:R13"/>
    <mergeCell ref="S13:T13"/>
    <mergeCell ref="U13:V13"/>
    <mergeCell ref="W13:W14"/>
    <mergeCell ref="O14:P14"/>
    <mergeCell ref="Q14:R14"/>
    <mergeCell ref="A13:A14"/>
    <mergeCell ref="B13:D14"/>
    <mergeCell ref="E13:F13"/>
    <mergeCell ref="G13:H13"/>
    <mergeCell ref="I13:J13"/>
    <mergeCell ref="I14:J14"/>
    <mergeCell ref="K13:L13"/>
    <mergeCell ref="M13:N13"/>
    <mergeCell ref="M14:N14"/>
    <mergeCell ref="E14:F14"/>
    <mergeCell ref="G14:H14"/>
    <mergeCell ref="S11:T12"/>
    <mergeCell ref="U11:V12"/>
    <mergeCell ref="W11:W12"/>
    <mergeCell ref="B8:D8"/>
    <mergeCell ref="B9:D9"/>
    <mergeCell ref="M10:N10"/>
    <mergeCell ref="O10:P10"/>
    <mergeCell ref="Q10:R10"/>
    <mergeCell ref="B11:D12"/>
    <mergeCell ref="E11:F12"/>
    <mergeCell ref="G11:H12"/>
    <mergeCell ref="I11:J12"/>
    <mergeCell ref="S7:T9"/>
    <mergeCell ref="U7:V9"/>
    <mergeCell ref="W7:W9"/>
    <mergeCell ref="S10:T10"/>
    <mergeCell ref="U10:V10"/>
    <mergeCell ref="A7:A10"/>
    <mergeCell ref="B7:D7"/>
    <mergeCell ref="E7:F9"/>
    <mergeCell ref="G7:H9"/>
    <mergeCell ref="A1:C2"/>
    <mergeCell ref="D1:G1"/>
    <mergeCell ref="H1:M1"/>
    <mergeCell ref="K11:L12"/>
    <mergeCell ref="M11:N12"/>
    <mergeCell ref="A11:A12"/>
    <mergeCell ref="N1:R1"/>
    <mergeCell ref="I7:J9"/>
    <mergeCell ref="K7:L9"/>
    <mergeCell ref="M7:N9"/>
    <mergeCell ref="O7:P9"/>
    <mergeCell ref="Q7:R9"/>
    <mergeCell ref="E10:F10"/>
    <mergeCell ref="G10:H10"/>
    <mergeCell ref="I10:J10"/>
    <mergeCell ref="K10:L10"/>
    <mergeCell ref="O11:P12"/>
    <mergeCell ref="Q11:R12"/>
    <mergeCell ref="S1:W1"/>
    <mergeCell ref="H2:M2"/>
    <mergeCell ref="S3:W3"/>
    <mergeCell ref="F5:O5"/>
    <mergeCell ref="I6:P6"/>
    <mergeCell ref="Q6:R6"/>
    <mergeCell ref="S6:W6"/>
    <mergeCell ref="I3:M3"/>
    <mergeCell ref="N3:R3"/>
    <mergeCell ref="I4:M4"/>
    <mergeCell ref="N4:R4"/>
    <mergeCell ref="S4:W4"/>
    <mergeCell ref="Q5:R5"/>
    <mergeCell ref="S5:W5"/>
    <mergeCell ref="F4:H4"/>
    <mergeCell ref="F6:H6"/>
    <mergeCell ref="N2:R2"/>
    <mergeCell ref="S2:W2"/>
    <mergeCell ref="D2:G2"/>
    <mergeCell ref="F3:H3"/>
    <mergeCell ref="B3:E6"/>
    <mergeCell ref="W35:W36"/>
    <mergeCell ref="U37:V37"/>
    <mergeCell ref="U38:V38"/>
    <mergeCell ref="D37:F37"/>
    <mergeCell ref="D38:F38"/>
    <mergeCell ref="D39:F39"/>
    <mergeCell ref="D40:F40"/>
    <mergeCell ref="D41:F41"/>
    <mergeCell ref="D42:F42"/>
    <mergeCell ref="U42:V42"/>
    <mergeCell ref="U43:V43"/>
    <mergeCell ref="U44:V44"/>
    <mergeCell ref="U45:V45"/>
    <mergeCell ref="U46:V46"/>
    <mergeCell ref="O35:P36"/>
    <mergeCell ref="Q35:R36"/>
    <mergeCell ref="S35:T36"/>
    <mergeCell ref="U35:V36"/>
    <mergeCell ref="A35:A36"/>
    <mergeCell ref="B35:F36"/>
    <mergeCell ref="G35:H36"/>
    <mergeCell ref="I35:J36"/>
    <mergeCell ref="K35:L36"/>
    <mergeCell ref="M35:N36"/>
    <mergeCell ref="U39:V39"/>
    <mergeCell ref="U40:V40"/>
    <mergeCell ref="U41:V41"/>
    <mergeCell ref="D43:F43"/>
    <mergeCell ref="D44:F44"/>
    <mergeCell ref="D45:F45"/>
    <mergeCell ref="D46:F46"/>
    <mergeCell ref="W33:W34"/>
    <mergeCell ref="O34:P34"/>
    <mergeCell ref="Q34:R34"/>
    <mergeCell ref="I34:J34"/>
    <mergeCell ref="K34:L34"/>
    <mergeCell ref="B33:D34"/>
    <mergeCell ref="E33:F33"/>
    <mergeCell ref="G33:H33"/>
    <mergeCell ref="I33:J33"/>
    <mergeCell ref="K33:L33"/>
    <mergeCell ref="M33:N33"/>
    <mergeCell ref="M34:N34"/>
    <mergeCell ref="E34:F34"/>
    <mergeCell ref="G34:H34"/>
    <mergeCell ref="A33:A34"/>
    <mergeCell ref="S34:T34"/>
    <mergeCell ref="U34:V34"/>
    <mergeCell ref="O33:P33"/>
    <mergeCell ref="Q33:R33"/>
    <mergeCell ref="S33:T33"/>
    <mergeCell ref="U33:V33"/>
    <mergeCell ref="I29:J29"/>
    <mergeCell ref="K29:L29"/>
    <mergeCell ref="M29:N29"/>
    <mergeCell ref="M30:N30"/>
    <mergeCell ref="A31:A32"/>
    <mergeCell ref="B31:D32"/>
    <mergeCell ref="E31:F31"/>
    <mergeCell ref="G31:H31"/>
    <mergeCell ref="E32:F32"/>
    <mergeCell ref="G32:H32"/>
    <mergeCell ref="I30:J30"/>
    <mergeCell ref="K30:L30"/>
    <mergeCell ref="I31:J31"/>
    <mergeCell ref="K31:L31"/>
    <mergeCell ref="M31:N31"/>
    <mergeCell ref="O31:P31"/>
    <mergeCell ref="Q31:R31"/>
    <mergeCell ref="I32:J32"/>
    <mergeCell ref="K32:L32"/>
    <mergeCell ref="M32:N32"/>
    <mergeCell ref="O32:P32"/>
    <mergeCell ref="Q32:R32"/>
    <mergeCell ref="O30:P30"/>
    <mergeCell ref="Q30:R30"/>
    <mergeCell ref="S31:T31"/>
    <mergeCell ref="U31:V31"/>
    <mergeCell ref="O29:P29"/>
    <mergeCell ref="Q29:R29"/>
    <mergeCell ref="S29:T29"/>
    <mergeCell ref="U29:V29"/>
    <mergeCell ref="W31:W32"/>
    <mergeCell ref="S32:T32"/>
    <mergeCell ref="U32:V32"/>
    <mergeCell ref="S30:T30"/>
    <mergeCell ref="U30:V30"/>
    <mergeCell ref="W29:W30"/>
  </mergeCells>
  <conditionalFormatting sqref="G35:V36">
    <cfRule type="cellIs" dxfId="1" priority="1" operator="equal">
      <formula>0</formula>
    </cfRule>
  </conditionalFormatting>
  <conditionalFormatting sqref="G47:T47">
    <cfRule type="cellIs" dxfId="0" priority="2" operator="equal">
      <formula>0</formula>
    </cfRule>
  </conditionalFormatting>
  <dataValidations count="9">
    <dataValidation type="list" allowBlank="1" sqref="H2" xr:uid="{00000000-0002-0000-0000-000000000000}">
      <formula1>"6:00 am - 4:00 pm,6:30 am - 4:30 pm,7:00 am - 3:30 pm,7:00 am - 4:00 pm,7:00 am - 4:30 pm,7:00 am - 5:00 pm,7:00 am - 6:00 pm,7:30 am - 5:30 pm,7:00 pm - 5:00 am"</formula1>
    </dataValidation>
    <dataValidation type="list" allowBlank="1" sqref="N2" xr:uid="{00000000-0002-0000-0000-000001000000}">
      <formula1>"No lunch,30 mins,1 hour"</formula1>
    </dataValidation>
    <dataValidation type="list" allowBlank="1" sqref="I4" xr:uid="{00000000-0002-0000-0000-000005000000}">
      <formula1>"Sunny,Cloudy,Rainy,Snowy"</formula1>
    </dataValidation>
    <dataValidation type="list" allowBlank="1" sqref="A62:A64" xr:uid="{00000000-0002-0000-0000-000006000000}">
      <formula1>"PMI,Potts &amp; Callahan,SandyFill,MD Recycling Center,MD Reclamation Center,Pittman Road,Rockville Recycle"</formula1>
    </dataValidation>
    <dataValidation type="list" allowBlank="1" sqref="E13 E15 E17 E19 E21 E23 E25 E27 E29 E31 E33" xr:uid="{00000000-0002-0000-0000-000009000000}">
      <formula1>"104,105,109,119,120,121,122,202,203,205,208,210,211"</formula1>
    </dataValidation>
    <dataValidation type="custom" allowBlank="1" showDropDown="1" sqref="D2" xr:uid="{00000000-0002-0000-0000-00000A000000}">
      <formula1>OR(NOT(ISERROR(DATEVALUE(D2))), AND(ISNUMBER(D2), LEFT(CELL("format", D2))="D"))</formula1>
    </dataValidation>
    <dataValidation type="list" allowBlank="1" sqref="F4" xr:uid="{00000000-0002-0000-0000-00000B000000}">
      <formula1>"Day,Night"</formula1>
    </dataValidation>
    <dataValidation type="list" allowBlank="1" sqref="A55:A60" xr:uid="{00000000-0002-0000-0000-00000F000000}">
      <formula1>"Anthony's,Alba's,Barbie's,Digz,3D's,Powell,American,Julian's,Shivs,WBJ,Antonio's,Alexis Trucking,JLA,M Luis,J&amp;M Sweeping,A Halcon Contractors"</formula1>
    </dataValidation>
    <dataValidation type="list" allowBlank="1" sqref="I6" xr:uid="{00000000-0002-0000-0000-000011000000}">
      <formula1>"Walt Leizear,Oscar Allende,William Bratcher,Jose Balmes"</formula1>
    </dataValidation>
  </dataValidations>
  <pageMargins left="0.5" right="0.5" top="0.25" bottom="0.25" header="0" footer="0"/>
  <pageSetup paperSize="3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2000000}">
          <x14:formula1>
            <xm:f>'W. Performed'!$A$1:$M$1</xm:f>
          </x14:formula1>
          <xm:sqref>A49:A53</xm:sqref>
        </x14:dataValidation>
        <x14:dataValidation type="list" allowBlank="1" xr:uid="{00000000-0002-0000-0000-000003000000}">
          <x14:formula1>
            <xm:f>'W. Performed'!$K$21:$K$37</xm:f>
          </x14:formula1>
          <xm:sqref>C51</xm:sqref>
        </x14:dataValidation>
        <x14:dataValidation type="list" allowBlank="1" xr:uid="{00000000-0002-0000-0000-000004000000}">
          <x14:formula1>
            <xm:f>'W. Performed'!$G$21:$G$37</xm:f>
          </x14:formula1>
          <xm:sqref>C49</xm:sqref>
        </x14:dataValidation>
        <x14:dataValidation type="list" allowBlank="1" xr:uid="{00000000-0002-0000-0000-000007000000}">
          <x14:formula1>
            <xm:f>'W. Performed'!$L$21:$L$37</xm:f>
          </x14:formula1>
          <xm:sqref>C52</xm:sqref>
        </x14:dataValidation>
        <x14:dataValidation type="list" allowBlank="1" xr:uid="{00000000-0002-0000-0000-000008000000}">
          <x14:formula1>
            <xm:f>'Employee Numbers'!$A$1:$A$125</xm:f>
          </x14:formula1>
          <xm:sqref>B11 B13 B15 B17 B19 B21 B23 B25 B27 B29 B31 B33</xm:sqref>
        </x14:dataValidation>
        <x14:dataValidation type="list" allowBlank="1" xr:uid="{00000000-0002-0000-0000-00000C000000}">
          <x14:formula1>
            <xm:f>'W. Performed'!$M$21:$M$37</xm:f>
          </x14:formula1>
          <xm:sqref>C53</xm:sqref>
        </x14:dataValidation>
        <x14:dataValidation type="list" allowBlank="1" xr:uid="{00000000-0002-0000-0000-00000D000000}">
          <x14:formula1>
            <xm:f>'Data Valid.'!$A$1:$AB$1</xm:f>
          </x14:formula1>
          <xm:sqref>S2</xm:sqref>
        </x14:dataValidation>
        <x14:dataValidation type="list" allowBlank="1" xr:uid="{00000000-0002-0000-0000-00000E000000}">
          <x14:formula1>
            <xm:f>'Data Valid.'!$AE$2:$AE$220</xm:f>
          </x14:formula1>
          <xm:sqref>G7 I7 K7 M7 O7 Q7 S7 U7</xm:sqref>
        </x14:dataValidation>
        <x14:dataValidation type="list" allowBlank="1" xr:uid="{00000000-0002-0000-0000-000010000000}">
          <x14:formula1>
            <xm:f>'W. Performed'!$I$21:$I$37</xm:f>
          </x14:formula1>
          <xm:sqref>C50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"/>
  <sheetViews>
    <sheetView workbookViewId="0"/>
  </sheetViews>
  <sheetFormatPr defaultColWidth="12.5703125" defaultRowHeight="15" customHeight="1"/>
  <sheetData>
    <row r="1" spans="1:2">
      <c r="A1" s="45" t="s">
        <v>56</v>
      </c>
      <c r="B1" s="3" t="s">
        <v>57</v>
      </c>
    </row>
    <row r="2" spans="1:2">
      <c r="A2" s="46" t="s">
        <v>58</v>
      </c>
      <c r="B2" s="47" t="b">
        <v>1</v>
      </c>
    </row>
    <row r="3" spans="1:2">
      <c r="A3" s="46" t="s">
        <v>59</v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25"/>
  <sheetViews>
    <sheetView workbookViewId="0"/>
  </sheetViews>
  <sheetFormatPr defaultColWidth="12.5703125" defaultRowHeight="15" customHeight="1"/>
  <cols>
    <col min="1" max="1" width="25.5703125" customWidth="1"/>
  </cols>
  <sheetData>
    <row r="1" spans="1:2">
      <c r="A1" s="37" t="s">
        <v>60</v>
      </c>
      <c r="B1" s="37">
        <v>59</v>
      </c>
    </row>
    <row r="2" spans="1:2">
      <c r="A2" s="37" t="s">
        <v>61</v>
      </c>
      <c r="B2" s="37">
        <v>77</v>
      </c>
    </row>
    <row r="3" spans="1:2">
      <c r="A3" s="37" t="s">
        <v>62</v>
      </c>
      <c r="B3" s="37">
        <v>91</v>
      </c>
    </row>
    <row r="4" spans="1:2">
      <c r="A4" s="37" t="s">
        <v>63</v>
      </c>
      <c r="B4" s="37">
        <v>92</v>
      </c>
    </row>
    <row r="5" spans="1:2">
      <c r="A5" s="37" t="s">
        <v>64</v>
      </c>
      <c r="B5" s="37">
        <v>95</v>
      </c>
    </row>
    <row r="6" spans="1:2">
      <c r="A6" s="37" t="s">
        <v>65</v>
      </c>
      <c r="B6" s="37">
        <v>129</v>
      </c>
    </row>
    <row r="7" spans="1:2">
      <c r="A7" s="37" t="s">
        <v>66</v>
      </c>
      <c r="B7" s="37">
        <v>146</v>
      </c>
    </row>
    <row r="8" spans="1:2">
      <c r="A8" s="37" t="s">
        <v>67</v>
      </c>
      <c r="B8" s="37">
        <v>147</v>
      </c>
    </row>
    <row r="9" spans="1:2">
      <c r="A9" s="37" t="s">
        <v>25</v>
      </c>
      <c r="B9" s="37">
        <v>177</v>
      </c>
    </row>
    <row r="10" spans="1:2">
      <c r="A10" s="37" t="s">
        <v>68</v>
      </c>
      <c r="B10" s="37">
        <v>179</v>
      </c>
    </row>
    <row r="11" spans="1:2">
      <c r="A11" s="37" t="s">
        <v>69</v>
      </c>
      <c r="B11" s="37">
        <v>215</v>
      </c>
    </row>
    <row r="12" spans="1:2">
      <c r="A12" s="37" t="s">
        <v>70</v>
      </c>
      <c r="B12" s="37">
        <v>285</v>
      </c>
    </row>
    <row r="13" spans="1:2">
      <c r="A13" s="37" t="s">
        <v>71</v>
      </c>
      <c r="B13" s="37">
        <v>338</v>
      </c>
    </row>
    <row r="14" spans="1:2">
      <c r="A14" s="37" t="s">
        <v>72</v>
      </c>
      <c r="B14" s="37">
        <v>365</v>
      </c>
    </row>
    <row r="15" spans="1:2">
      <c r="A15" s="37" t="s">
        <v>73</v>
      </c>
      <c r="B15" s="37">
        <v>564</v>
      </c>
    </row>
    <row r="16" spans="1:2">
      <c r="A16" s="37" t="s">
        <v>74</v>
      </c>
      <c r="B16" s="37">
        <v>745</v>
      </c>
    </row>
    <row r="17" spans="1:2">
      <c r="A17" s="37" t="s">
        <v>75</v>
      </c>
      <c r="B17" s="37">
        <v>778</v>
      </c>
    </row>
    <row r="18" spans="1:2">
      <c r="A18" s="37" t="s">
        <v>76</v>
      </c>
      <c r="B18" s="37">
        <v>799</v>
      </c>
    </row>
    <row r="19" spans="1:2">
      <c r="A19" s="37" t="s">
        <v>77</v>
      </c>
      <c r="B19" s="37">
        <v>890</v>
      </c>
    </row>
    <row r="20" spans="1:2">
      <c r="A20" s="37" t="s">
        <v>78</v>
      </c>
      <c r="B20" s="37">
        <v>931</v>
      </c>
    </row>
    <row r="21" spans="1:2">
      <c r="A21" s="37" t="s">
        <v>79</v>
      </c>
      <c r="B21" s="37">
        <v>955</v>
      </c>
    </row>
    <row r="22" spans="1:2">
      <c r="A22" s="37" t="s">
        <v>80</v>
      </c>
      <c r="B22" s="37">
        <v>976</v>
      </c>
    </row>
    <row r="23" spans="1:2">
      <c r="A23" s="37" t="s">
        <v>81</v>
      </c>
      <c r="B23" s="37">
        <v>983</v>
      </c>
    </row>
    <row r="24" spans="1:2">
      <c r="A24" s="37" t="s">
        <v>31</v>
      </c>
      <c r="B24" s="37">
        <v>1021</v>
      </c>
    </row>
    <row r="25" spans="1:2">
      <c r="A25" s="37" t="s">
        <v>82</v>
      </c>
      <c r="B25" s="37">
        <v>1040</v>
      </c>
    </row>
    <row r="26" spans="1:2">
      <c r="A26" s="37" t="s">
        <v>83</v>
      </c>
      <c r="B26" s="37">
        <v>1120</v>
      </c>
    </row>
    <row r="27" spans="1:2">
      <c r="A27" s="37" t="s">
        <v>84</v>
      </c>
      <c r="B27" s="37">
        <v>1147</v>
      </c>
    </row>
    <row r="28" spans="1:2">
      <c r="A28" s="37" t="s">
        <v>33</v>
      </c>
      <c r="B28" s="37">
        <v>1171</v>
      </c>
    </row>
    <row r="29" spans="1:2">
      <c r="A29" s="37" t="s">
        <v>85</v>
      </c>
      <c r="B29" s="37">
        <v>1221</v>
      </c>
    </row>
    <row r="30" spans="1:2">
      <c r="A30" s="37" t="s">
        <v>86</v>
      </c>
      <c r="B30" s="37">
        <v>1228</v>
      </c>
    </row>
    <row r="31" spans="1:2">
      <c r="A31" s="37" t="s">
        <v>87</v>
      </c>
      <c r="B31" s="37">
        <v>1257</v>
      </c>
    </row>
    <row r="32" spans="1:2">
      <c r="A32" s="37" t="s">
        <v>88</v>
      </c>
      <c r="B32" s="37">
        <v>1289</v>
      </c>
    </row>
    <row r="33" spans="1:2">
      <c r="A33" s="37" t="s">
        <v>89</v>
      </c>
      <c r="B33" s="37">
        <v>1291</v>
      </c>
    </row>
    <row r="34" spans="1:2">
      <c r="A34" s="37" t="s">
        <v>27</v>
      </c>
      <c r="B34" s="37">
        <v>1308</v>
      </c>
    </row>
    <row r="35" spans="1:2">
      <c r="A35" s="37" t="s">
        <v>90</v>
      </c>
      <c r="B35" s="37">
        <v>1318</v>
      </c>
    </row>
    <row r="36" spans="1:2">
      <c r="A36" s="37" t="s">
        <v>29</v>
      </c>
      <c r="B36" s="37">
        <v>1319</v>
      </c>
    </row>
    <row r="37" spans="1:2">
      <c r="A37" s="37" t="s">
        <v>91</v>
      </c>
      <c r="B37" s="37">
        <v>1322</v>
      </c>
    </row>
    <row r="38" spans="1:2">
      <c r="A38" s="37" t="s">
        <v>92</v>
      </c>
      <c r="B38" s="37">
        <v>1352</v>
      </c>
    </row>
    <row r="39" spans="1:2">
      <c r="A39" s="37" t="s">
        <v>93</v>
      </c>
      <c r="B39" s="37">
        <v>1379</v>
      </c>
    </row>
    <row r="40" spans="1:2">
      <c r="A40" s="37" t="s">
        <v>26</v>
      </c>
      <c r="B40" s="37">
        <v>1384</v>
      </c>
    </row>
    <row r="41" spans="1:2">
      <c r="A41" s="37" t="s">
        <v>94</v>
      </c>
      <c r="B41" s="37">
        <v>1446</v>
      </c>
    </row>
    <row r="42" spans="1:2">
      <c r="A42" s="37" t="s">
        <v>95</v>
      </c>
      <c r="B42" s="37">
        <v>1464</v>
      </c>
    </row>
    <row r="43" spans="1:2">
      <c r="A43" s="37" t="s">
        <v>96</v>
      </c>
      <c r="B43" s="37">
        <v>1468</v>
      </c>
    </row>
    <row r="44" spans="1:2">
      <c r="A44" s="37" t="s">
        <v>97</v>
      </c>
      <c r="B44" s="37">
        <v>1471</v>
      </c>
    </row>
    <row r="45" spans="1:2">
      <c r="A45" s="37" t="s">
        <v>98</v>
      </c>
      <c r="B45" s="37">
        <v>1497</v>
      </c>
    </row>
    <row r="46" spans="1:2">
      <c r="A46" s="37" t="s">
        <v>99</v>
      </c>
      <c r="B46" s="37">
        <v>1500</v>
      </c>
    </row>
    <row r="47" spans="1:2">
      <c r="A47" s="37" t="s">
        <v>100</v>
      </c>
      <c r="B47" s="37">
        <v>1501</v>
      </c>
    </row>
    <row r="48" spans="1:2">
      <c r="A48" s="37" t="s">
        <v>101</v>
      </c>
      <c r="B48" s="37">
        <v>1525</v>
      </c>
    </row>
    <row r="49" spans="1:2">
      <c r="A49" s="37" t="s">
        <v>102</v>
      </c>
      <c r="B49" s="37">
        <v>1527</v>
      </c>
    </row>
    <row r="50" spans="1:2">
      <c r="A50" s="37" t="s">
        <v>103</v>
      </c>
      <c r="B50" s="37">
        <v>1529</v>
      </c>
    </row>
    <row r="51" spans="1:2">
      <c r="A51" s="37" t="s">
        <v>104</v>
      </c>
      <c r="B51" s="37">
        <v>1536</v>
      </c>
    </row>
    <row r="52" spans="1:2">
      <c r="A52" s="37" t="s">
        <v>105</v>
      </c>
      <c r="B52" s="37">
        <v>1550</v>
      </c>
    </row>
    <row r="53" spans="1:2">
      <c r="A53" s="37" t="s">
        <v>106</v>
      </c>
      <c r="B53" s="37">
        <v>1566</v>
      </c>
    </row>
    <row r="54" spans="1:2">
      <c r="A54" s="37" t="s">
        <v>107</v>
      </c>
      <c r="B54" s="37">
        <v>1575</v>
      </c>
    </row>
    <row r="55" spans="1:2">
      <c r="A55" s="37" t="s">
        <v>108</v>
      </c>
      <c r="B55" s="37">
        <v>1592</v>
      </c>
    </row>
    <row r="56" spans="1:2">
      <c r="A56" s="37" t="s">
        <v>109</v>
      </c>
      <c r="B56" s="37">
        <v>1600</v>
      </c>
    </row>
    <row r="57" spans="1:2">
      <c r="A57" s="37" t="s">
        <v>110</v>
      </c>
      <c r="B57" s="37">
        <v>1612</v>
      </c>
    </row>
    <row r="58" spans="1:2">
      <c r="A58" s="37" t="s">
        <v>111</v>
      </c>
      <c r="B58" s="37">
        <v>1616</v>
      </c>
    </row>
    <row r="59" spans="1:2">
      <c r="A59" s="37" t="s">
        <v>112</v>
      </c>
      <c r="B59" s="37">
        <v>1639</v>
      </c>
    </row>
    <row r="60" spans="1:2">
      <c r="A60" s="37" t="s">
        <v>113</v>
      </c>
      <c r="B60" s="37">
        <v>1643</v>
      </c>
    </row>
    <row r="61" spans="1:2">
      <c r="A61" s="37" t="s">
        <v>114</v>
      </c>
      <c r="B61" s="37">
        <v>1645</v>
      </c>
    </row>
    <row r="62" spans="1:2">
      <c r="A62" s="37" t="s">
        <v>115</v>
      </c>
      <c r="B62" s="37">
        <v>1670</v>
      </c>
    </row>
    <row r="63" spans="1:2">
      <c r="A63" s="37" t="s">
        <v>116</v>
      </c>
      <c r="B63" s="37">
        <v>1700</v>
      </c>
    </row>
    <row r="64" spans="1:2">
      <c r="A64" s="37" t="s">
        <v>117</v>
      </c>
      <c r="B64" s="37">
        <v>1706</v>
      </c>
    </row>
    <row r="65" spans="1:2">
      <c r="A65" s="37" t="s">
        <v>118</v>
      </c>
      <c r="B65" s="37">
        <v>1710</v>
      </c>
    </row>
    <row r="66" spans="1:2">
      <c r="A66" s="37" t="s">
        <v>119</v>
      </c>
      <c r="B66" s="37">
        <v>1711</v>
      </c>
    </row>
    <row r="67" spans="1:2">
      <c r="A67" s="37" t="s">
        <v>120</v>
      </c>
      <c r="B67" s="37">
        <v>1716</v>
      </c>
    </row>
    <row r="68" spans="1:2">
      <c r="A68" s="37" t="s">
        <v>28</v>
      </c>
      <c r="B68" s="37">
        <v>1728</v>
      </c>
    </row>
    <row r="69" spans="1:2">
      <c r="A69" s="37" t="s">
        <v>121</v>
      </c>
      <c r="B69" s="37">
        <v>1736</v>
      </c>
    </row>
    <row r="70" spans="1:2">
      <c r="A70" s="37" t="s">
        <v>122</v>
      </c>
      <c r="B70" s="37">
        <v>1743</v>
      </c>
    </row>
    <row r="71" spans="1:2">
      <c r="A71" s="37" t="s">
        <v>123</v>
      </c>
      <c r="B71" s="37">
        <v>1778</v>
      </c>
    </row>
    <row r="72" spans="1:2">
      <c r="A72" s="37" t="s">
        <v>124</v>
      </c>
      <c r="B72" s="37">
        <v>1782</v>
      </c>
    </row>
    <row r="73" spans="1:2">
      <c r="A73" s="37" t="s">
        <v>125</v>
      </c>
      <c r="B73" s="37">
        <v>1806</v>
      </c>
    </row>
    <row r="74" spans="1:2">
      <c r="A74" s="37" t="s">
        <v>126</v>
      </c>
      <c r="B74" s="37">
        <v>1839</v>
      </c>
    </row>
    <row r="75" spans="1:2">
      <c r="A75" s="37" t="s">
        <v>127</v>
      </c>
      <c r="B75" s="37">
        <v>1842</v>
      </c>
    </row>
    <row r="76" spans="1:2">
      <c r="A76" s="37" t="s">
        <v>128</v>
      </c>
      <c r="B76" s="37">
        <v>1854</v>
      </c>
    </row>
    <row r="77" spans="1:2">
      <c r="A77" s="37" t="s">
        <v>129</v>
      </c>
      <c r="B77" s="37">
        <v>1856</v>
      </c>
    </row>
    <row r="78" spans="1:2">
      <c r="A78" s="37" t="s">
        <v>130</v>
      </c>
      <c r="B78" s="37">
        <v>1868</v>
      </c>
    </row>
    <row r="79" spans="1:2">
      <c r="A79" s="37" t="s">
        <v>131</v>
      </c>
      <c r="B79" s="37">
        <v>1873</v>
      </c>
    </row>
    <row r="80" spans="1:2">
      <c r="A80" s="37" t="s">
        <v>132</v>
      </c>
      <c r="B80" s="37">
        <v>1896</v>
      </c>
    </row>
    <row r="81" spans="1:2">
      <c r="A81" s="37" t="s">
        <v>133</v>
      </c>
      <c r="B81" s="37">
        <v>1899</v>
      </c>
    </row>
    <row r="82" spans="1:2">
      <c r="A82" s="37" t="s">
        <v>134</v>
      </c>
      <c r="B82" s="37">
        <v>1920</v>
      </c>
    </row>
    <row r="83" spans="1:2">
      <c r="A83" s="37" t="s">
        <v>30</v>
      </c>
      <c r="B83" s="48">
        <v>1927</v>
      </c>
    </row>
    <row r="84" spans="1:2">
      <c r="A84" s="37" t="s">
        <v>135</v>
      </c>
      <c r="B84" s="48">
        <v>1933</v>
      </c>
    </row>
    <row r="85" spans="1:2">
      <c r="A85" s="37" t="s">
        <v>136</v>
      </c>
      <c r="B85" s="48">
        <v>1934</v>
      </c>
    </row>
    <row r="86" spans="1:2">
      <c r="A86" s="37" t="s">
        <v>137</v>
      </c>
      <c r="B86" s="48">
        <v>1942</v>
      </c>
    </row>
    <row r="87" spans="1:2">
      <c r="A87" s="37" t="s">
        <v>138</v>
      </c>
      <c r="B87" s="48">
        <v>1946</v>
      </c>
    </row>
    <row r="88" spans="1:2">
      <c r="A88" s="37" t="s">
        <v>139</v>
      </c>
      <c r="B88" s="48">
        <v>1948</v>
      </c>
    </row>
    <row r="89" spans="1:2">
      <c r="A89" s="37" t="s">
        <v>140</v>
      </c>
      <c r="B89" s="48">
        <v>1949</v>
      </c>
    </row>
    <row r="90" spans="1:2">
      <c r="A90" s="37" t="s">
        <v>141</v>
      </c>
      <c r="B90" s="48">
        <v>1958</v>
      </c>
    </row>
    <row r="91" spans="1:2">
      <c r="A91" s="37" t="s">
        <v>142</v>
      </c>
      <c r="B91" s="37">
        <v>1960</v>
      </c>
    </row>
    <row r="92" spans="1:2">
      <c r="A92" s="37" t="s">
        <v>143</v>
      </c>
      <c r="B92" s="48">
        <v>1975</v>
      </c>
    </row>
    <row r="93" spans="1:2">
      <c r="A93" s="37" t="s">
        <v>144</v>
      </c>
      <c r="B93" s="48">
        <v>1988</v>
      </c>
    </row>
    <row r="94" spans="1:2">
      <c r="A94" s="37" t="s">
        <v>145</v>
      </c>
      <c r="B94" s="48">
        <v>1990</v>
      </c>
    </row>
    <row r="95" spans="1:2">
      <c r="A95" s="37" t="s">
        <v>146</v>
      </c>
      <c r="B95" s="48">
        <v>1991</v>
      </c>
    </row>
    <row r="96" spans="1:2">
      <c r="A96" s="37" t="s">
        <v>147</v>
      </c>
      <c r="B96" s="48">
        <v>1992</v>
      </c>
    </row>
    <row r="97" spans="1:2">
      <c r="A97" s="37" t="s">
        <v>148</v>
      </c>
      <c r="B97" s="48">
        <v>1994</v>
      </c>
    </row>
    <row r="98" spans="1:2">
      <c r="A98" s="37" t="s">
        <v>149</v>
      </c>
      <c r="B98" s="48">
        <v>2007</v>
      </c>
    </row>
    <row r="99" spans="1:2">
      <c r="A99" s="37" t="s">
        <v>150</v>
      </c>
      <c r="B99" s="37">
        <v>2009</v>
      </c>
    </row>
    <row r="100" spans="1:2">
      <c r="A100" s="37" t="s">
        <v>151</v>
      </c>
      <c r="B100" s="37">
        <v>2010</v>
      </c>
    </row>
    <row r="101" spans="1:2">
      <c r="A101" s="37" t="s">
        <v>152</v>
      </c>
      <c r="B101" s="37">
        <v>2011</v>
      </c>
    </row>
    <row r="102" spans="1:2">
      <c r="A102" s="37" t="s">
        <v>153</v>
      </c>
      <c r="B102" s="37">
        <v>2013</v>
      </c>
    </row>
    <row r="103" spans="1:2">
      <c r="A103" s="37" t="s">
        <v>154</v>
      </c>
      <c r="B103" s="37">
        <v>2014</v>
      </c>
    </row>
    <row r="104" spans="1:2">
      <c r="A104" s="37" t="s">
        <v>155</v>
      </c>
      <c r="B104" s="37">
        <v>2026</v>
      </c>
    </row>
    <row r="105" spans="1:2">
      <c r="A105" s="37" t="s">
        <v>156</v>
      </c>
      <c r="B105" s="37">
        <v>2029</v>
      </c>
    </row>
    <row r="106" spans="1:2">
      <c r="A106" s="37" t="s">
        <v>157</v>
      </c>
      <c r="B106" s="37">
        <v>2031</v>
      </c>
    </row>
    <row r="107" spans="1:2">
      <c r="A107" s="37" t="s">
        <v>158</v>
      </c>
      <c r="B107" s="37">
        <v>2034</v>
      </c>
    </row>
    <row r="108" spans="1:2">
      <c r="A108" s="37" t="s">
        <v>159</v>
      </c>
      <c r="B108" s="37">
        <v>2035</v>
      </c>
    </row>
    <row r="109" spans="1:2">
      <c r="A109" s="37" t="s">
        <v>160</v>
      </c>
      <c r="B109" s="37">
        <v>2037</v>
      </c>
    </row>
    <row r="110" spans="1:2">
      <c r="A110" s="37" t="s">
        <v>161</v>
      </c>
      <c r="B110" s="37">
        <v>2038</v>
      </c>
    </row>
    <row r="111" spans="1:2">
      <c r="A111" s="37" t="s">
        <v>162</v>
      </c>
      <c r="B111" s="37">
        <v>2039</v>
      </c>
    </row>
    <row r="112" spans="1:2">
      <c r="A112" s="37" t="s">
        <v>163</v>
      </c>
      <c r="B112" s="37">
        <v>2040</v>
      </c>
    </row>
    <row r="113" spans="1:2">
      <c r="A113" s="37" t="s">
        <v>164</v>
      </c>
      <c r="B113" s="37">
        <v>2041</v>
      </c>
    </row>
    <row r="114" spans="1:2">
      <c r="A114" s="37" t="s">
        <v>165</v>
      </c>
      <c r="B114" s="37">
        <v>2042</v>
      </c>
    </row>
    <row r="115" spans="1:2">
      <c r="A115" s="37" t="s">
        <v>166</v>
      </c>
      <c r="B115" s="37">
        <v>2044</v>
      </c>
    </row>
    <row r="116" spans="1:2">
      <c r="A116" s="37" t="s">
        <v>167</v>
      </c>
      <c r="B116" s="37">
        <v>2048</v>
      </c>
    </row>
    <row r="117" spans="1:2">
      <c r="A117" s="37" t="s">
        <v>168</v>
      </c>
      <c r="B117" s="37">
        <v>2049</v>
      </c>
    </row>
    <row r="118" spans="1:2">
      <c r="A118" s="37" t="s">
        <v>169</v>
      </c>
      <c r="B118" s="37">
        <v>2051</v>
      </c>
    </row>
    <row r="119" spans="1:2">
      <c r="A119" s="37" t="s">
        <v>170</v>
      </c>
      <c r="B119" s="37">
        <v>2052</v>
      </c>
    </row>
    <row r="120" spans="1:2">
      <c r="A120" s="37" t="s">
        <v>171</v>
      </c>
      <c r="B120" s="37">
        <v>2053</v>
      </c>
    </row>
    <row r="121" spans="1:2">
      <c r="A121" s="37" t="s">
        <v>172</v>
      </c>
      <c r="B121" s="37">
        <v>2055</v>
      </c>
    </row>
    <row r="122" spans="1:2">
      <c r="A122" s="37" t="s">
        <v>173</v>
      </c>
      <c r="B122" s="37">
        <v>2056</v>
      </c>
    </row>
    <row r="123" spans="1:2">
      <c r="A123" s="37" t="s">
        <v>174</v>
      </c>
      <c r="B123" s="37">
        <v>2057</v>
      </c>
    </row>
    <row r="124" spans="1:2">
      <c r="A124" s="37" t="s">
        <v>175</v>
      </c>
      <c r="B124" s="37">
        <v>2058</v>
      </c>
    </row>
    <row r="125" spans="1:2">
      <c r="A125" s="37" t="s">
        <v>176</v>
      </c>
      <c r="B125" s="37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7"/>
  <sheetViews>
    <sheetView workbookViewId="0"/>
  </sheetViews>
  <sheetFormatPr defaultColWidth="12.5703125" defaultRowHeight="15" customHeight="1"/>
  <sheetData>
    <row r="1" spans="1:2">
      <c r="A1" s="37" t="s">
        <v>177</v>
      </c>
      <c r="B1" s="37" t="s">
        <v>178</v>
      </c>
    </row>
    <row r="2" spans="1:2">
      <c r="A2" s="37" t="s">
        <v>179</v>
      </c>
      <c r="B2" s="37" t="s">
        <v>180</v>
      </c>
    </row>
    <row r="3" spans="1:2">
      <c r="A3" s="37" t="s">
        <v>181</v>
      </c>
      <c r="B3" s="37" t="s">
        <v>182</v>
      </c>
    </row>
    <row r="4" spans="1:2">
      <c r="A4" s="37" t="s">
        <v>183</v>
      </c>
      <c r="B4" s="37" t="s">
        <v>184</v>
      </c>
    </row>
    <row r="5" spans="1:2">
      <c r="A5" s="37" t="s">
        <v>185</v>
      </c>
      <c r="B5" s="37" t="s">
        <v>186</v>
      </c>
    </row>
    <row r="6" spans="1:2">
      <c r="A6" s="37" t="s">
        <v>187</v>
      </c>
      <c r="B6" s="37" t="s">
        <v>182</v>
      </c>
    </row>
    <row r="7" spans="1:2">
      <c r="A7" s="37" t="s">
        <v>188</v>
      </c>
      <c r="B7" s="37" t="s">
        <v>189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93"/>
  <sheetViews>
    <sheetView workbookViewId="0"/>
  </sheetViews>
  <sheetFormatPr defaultColWidth="12.5703125" defaultRowHeight="15" customHeight="1"/>
  <cols>
    <col min="1" max="2" width="10.140625" style="38" customWidth="1"/>
    <col min="3" max="4" width="10.140625" customWidth="1"/>
    <col min="5" max="6" width="10.140625" style="38" customWidth="1"/>
    <col min="7" max="22" width="10.140625" customWidth="1"/>
    <col min="23" max="23" width="10.140625" style="38" customWidth="1"/>
    <col min="24" max="26" width="10.140625" customWidth="1"/>
    <col min="27" max="27" width="10.140625" style="38" customWidth="1"/>
    <col min="28" max="28" width="10.140625" customWidth="1"/>
    <col min="29" max="31" width="10.140625" style="38" customWidth="1"/>
    <col min="32" max="44" width="7.5703125" customWidth="1"/>
  </cols>
  <sheetData>
    <row r="1" spans="1:31" ht="12.75" customHeight="1">
      <c r="A1" s="49" t="s">
        <v>190</v>
      </c>
      <c r="B1" s="50" t="s">
        <v>191</v>
      </c>
      <c r="C1" s="50" t="s">
        <v>192</v>
      </c>
      <c r="D1" s="50" t="s">
        <v>193</v>
      </c>
      <c r="E1" s="51" t="s">
        <v>194</v>
      </c>
      <c r="F1" s="51" t="s">
        <v>195</v>
      </c>
      <c r="G1" s="51" t="s">
        <v>196</v>
      </c>
      <c r="H1" s="51" t="s">
        <v>197</v>
      </c>
      <c r="I1" s="51" t="s">
        <v>198</v>
      </c>
      <c r="J1" s="51" t="s">
        <v>199</v>
      </c>
      <c r="K1" s="51" t="s">
        <v>200</v>
      </c>
      <c r="L1" s="51" t="s">
        <v>201</v>
      </c>
      <c r="M1" s="51" t="s">
        <v>202</v>
      </c>
      <c r="N1" s="51" t="s">
        <v>203</v>
      </c>
      <c r="O1" s="51" t="s">
        <v>204</v>
      </c>
      <c r="P1" s="51" t="s">
        <v>205</v>
      </c>
      <c r="Q1" s="51" t="s">
        <v>206</v>
      </c>
      <c r="R1" s="51" t="s">
        <v>207</v>
      </c>
      <c r="S1" s="51" t="s">
        <v>208</v>
      </c>
      <c r="T1" s="51" t="s">
        <v>209</v>
      </c>
      <c r="U1" s="51" t="s">
        <v>210</v>
      </c>
      <c r="V1" s="51" t="s">
        <v>211</v>
      </c>
      <c r="W1" s="51" t="s">
        <v>212</v>
      </c>
      <c r="X1" s="51" t="s">
        <v>213</v>
      </c>
      <c r="Y1" s="51" t="s">
        <v>214</v>
      </c>
      <c r="Z1" s="51" t="s">
        <v>215</v>
      </c>
      <c r="AA1" s="51" t="s">
        <v>216</v>
      </c>
      <c r="AB1" s="51" t="s">
        <v>217</v>
      </c>
      <c r="AC1" s="37"/>
      <c r="AD1" s="37"/>
      <c r="AE1" s="39" t="b">
        <f t="array" aca="1" ref="AE1" ca="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>0</v>
      </c>
    </row>
    <row r="2" spans="1:31" ht="12.75" customHeight="1">
      <c r="A2" s="37" t="s">
        <v>190</v>
      </c>
      <c r="B2" s="37" t="s">
        <v>190</v>
      </c>
      <c r="C2" s="48">
        <v>130851</v>
      </c>
      <c r="D2" s="48">
        <v>476040</v>
      </c>
      <c r="E2" s="48">
        <v>585707</v>
      </c>
      <c r="F2" s="48">
        <v>120510</v>
      </c>
      <c r="G2" s="48">
        <v>476077</v>
      </c>
      <c r="H2" s="48">
        <v>114275</v>
      </c>
      <c r="I2" s="48">
        <v>110701</v>
      </c>
      <c r="J2" s="48">
        <v>130801</v>
      </c>
      <c r="K2" s="48">
        <v>130850</v>
      </c>
      <c r="L2" s="48">
        <v>130851</v>
      </c>
      <c r="M2" s="48">
        <v>505029</v>
      </c>
      <c r="N2" s="48">
        <v>130801</v>
      </c>
      <c r="O2" s="48">
        <v>110350</v>
      </c>
      <c r="P2" s="48">
        <v>110100</v>
      </c>
      <c r="Q2" s="48">
        <v>130850</v>
      </c>
      <c r="R2" s="48">
        <v>130850</v>
      </c>
      <c r="S2" s="48">
        <v>130801</v>
      </c>
      <c r="T2" s="48">
        <v>504590</v>
      </c>
      <c r="U2" s="48">
        <v>130801</v>
      </c>
      <c r="V2" s="48">
        <v>504593</v>
      </c>
      <c r="W2" s="48">
        <v>110350</v>
      </c>
      <c r="X2" s="48">
        <v>130801</v>
      </c>
      <c r="Y2" s="48">
        <v>130801</v>
      </c>
      <c r="Z2" s="48">
        <v>130851</v>
      </c>
      <c r="AA2" s="48">
        <v>120510</v>
      </c>
      <c r="AB2" s="48">
        <v>130801</v>
      </c>
      <c r="AC2" s="37"/>
      <c r="AD2" s="37"/>
      <c r="AE2" s="37"/>
    </row>
    <row r="3" spans="1:31" ht="12.75" customHeight="1">
      <c r="A3" s="37" t="s">
        <v>218</v>
      </c>
      <c r="B3" s="37" t="s">
        <v>218</v>
      </c>
      <c r="C3" s="48">
        <v>585347</v>
      </c>
      <c r="D3" s="48">
        <v>476046</v>
      </c>
      <c r="E3" s="48">
        <v>120566</v>
      </c>
      <c r="F3" s="48">
        <v>120610</v>
      </c>
      <c r="G3" s="48">
        <v>476078</v>
      </c>
      <c r="H3" s="48">
        <v>120510</v>
      </c>
      <c r="I3" s="48">
        <v>110702</v>
      </c>
      <c r="J3" s="48">
        <v>697012</v>
      </c>
      <c r="K3" s="48">
        <v>120500</v>
      </c>
      <c r="L3" s="48">
        <v>655115</v>
      </c>
      <c r="M3" s="48">
        <v>505030</v>
      </c>
      <c r="N3" s="48">
        <v>504566</v>
      </c>
      <c r="O3" s="48">
        <v>130940</v>
      </c>
      <c r="P3" s="48">
        <v>110350</v>
      </c>
      <c r="Q3" s="48">
        <v>120500</v>
      </c>
      <c r="R3" s="48">
        <v>120510</v>
      </c>
      <c r="S3" s="48">
        <v>697012</v>
      </c>
      <c r="T3" s="48">
        <v>504591</v>
      </c>
      <c r="U3" s="48">
        <v>530160</v>
      </c>
      <c r="V3" s="48">
        <v>504591</v>
      </c>
      <c r="W3" s="48">
        <v>130940</v>
      </c>
      <c r="X3" s="48">
        <v>654098</v>
      </c>
      <c r="Y3" s="48">
        <v>120511</v>
      </c>
      <c r="Z3" s="48">
        <v>120515</v>
      </c>
      <c r="AA3" s="48">
        <v>120610</v>
      </c>
      <c r="AB3" s="48">
        <v>504500</v>
      </c>
      <c r="AC3" s="37"/>
      <c r="AD3" s="37"/>
      <c r="AE3" s="37"/>
    </row>
    <row r="4" spans="1:31" ht="12.75" customHeight="1">
      <c r="A4" s="37" t="s">
        <v>219</v>
      </c>
      <c r="B4" s="37" t="s">
        <v>219</v>
      </c>
      <c r="C4" s="48">
        <v>585671</v>
      </c>
      <c r="D4" s="48">
        <v>476019</v>
      </c>
      <c r="E4" s="48">
        <v>120567</v>
      </c>
      <c r="F4" s="48">
        <v>120625</v>
      </c>
      <c r="G4" s="48">
        <v>476079</v>
      </c>
      <c r="H4" s="48">
        <v>120610</v>
      </c>
      <c r="I4" s="48">
        <v>110703</v>
      </c>
      <c r="J4" s="48">
        <v>655105</v>
      </c>
      <c r="K4" s="48">
        <v>505029</v>
      </c>
      <c r="L4" s="48">
        <v>655105</v>
      </c>
      <c r="M4" s="48">
        <v>562002</v>
      </c>
      <c r="N4" s="48">
        <v>504576</v>
      </c>
      <c r="O4" s="48">
        <v>120500</v>
      </c>
      <c r="P4" s="48">
        <v>130940</v>
      </c>
      <c r="Q4" s="48">
        <v>505029</v>
      </c>
      <c r="R4" s="48">
        <v>504724</v>
      </c>
      <c r="S4" s="48">
        <v>655105</v>
      </c>
      <c r="T4" s="48">
        <v>504559</v>
      </c>
      <c r="U4" s="48">
        <v>504593</v>
      </c>
      <c r="V4" s="48">
        <v>504594</v>
      </c>
      <c r="W4" s="48">
        <v>120500</v>
      </c>
      <c r="X4" s="48">
        <v>655120</v>
      </c>
      <c r="Y4" s="48">
        <v>110350</v>
      </c>
      <c r="Z4" s="48">
        <v>530161</v>
      </c>
      <c r="AA4" s="48">
        <v>120625</v>
      </c>
      <c r="AB4" s="48">
        <v>504525</v>
      </c>
      <c r="AC4" s="37"/>
      <c r="AD4" s="37"/>
      <c r="AE4" s="37"/>
    </row>
    <row r="5" spans="1:31" ht="12.75" customHeight="1">
      <c r="A5" s="37"/>
      <c r="B5" s="37"/>
      <c r="C5" s="48">
        <v>120562</v>
      </c>
      <c r="D5" s="48">
        <v>476005</v>
      </c>
      <c r="E5" s="48">
        <v>120568</v>
      </c>
      <c r="F5" s="48">
        <v>114286</v>
      </c>
      <c r="G5" s="48">
        <v>17</v>
      </c>
      <c r="H5" s="37">
        <v>120625</v>
      </c>
      <c r="I5" s="37">
        <v>110704</v>
      </c>
      <c r="J5" s="37">
        <v>561170</v>
      </c>
      <c r="K5" s="37">
        <v>505030</v>
      </c>
      <c r="L5" s="37">
        <v>655393</v>
      </c>
      <c r="M5" s="37">
        <v>562003</v>
      </c>
      <c r="N5" s="37">
        <v>599201</v>
      </c>
      <c r="O5" s="37">
        <v>120610</v>
      </c>
      <c r="P5" s="37">
        <v>120500</v>
      </c>
      <c r="Q5" s="37">
        <v>505030</v>
      </c>
      <c r="R5" s="37">
        <v>504725</v>
      </c>
      <c r="S5" s="37">
        <v>655388</v>
      </c>
      <c r="T5" s="37">
        <v>201032</v>
      </c>
      <c r="U5" s="37">
        <v>504591</v>
      </c>
      <c r="V5" s="37">
        <v>504592</v>
      </c>
      <c r="W5" s="37">
        <v>120555</v>
      </c>
      <c r="X5" s="37">
        <v>634401</v>
      </c>
      <c r="Y5" s="37">
        <v>390542</v>
      </c>
      <c r="Z5" s="37">
        <v>504530</v>
      </c>
      <c r="AA5" s="37">
        <v>114286</v>
      </c>
      <c r="AB5" s="37">
        <v>530161</v>
      </c>
      <c r="AC5" s="37"/>
      <c r="AD5" s="37"/>
      <c r="AE5" s="37"/>
    </row>
    <row r="6" spans="1:31" ht="12.75" customHeight="1">
      <c r="A6" s="37"/>
      <c r="B6" s="37"/>
      <c r="C6" s="48">
        <v>120572</v>
      </c>
      <c r="D6" s="48">
        <v>476002</v>
      </c>
      <c r="E6" s="48">
        <v>120610</v>
      </c>
      <c r="F6" s="48">
        <v>120820</v>
      </c>
      <c r="G6" s="48" t="s">
        <v>220</v>
      </c>
      <c r="H6" s="37">
        <v>120747</v>
      </c>
      <c r="I6" s="37">
        <v>110705</v>
      </c>
      <c r="J6" s="37">
        <v>655120</v>
      </c>
      <c r="K6" s="37">
        <v>504598</v>
      </c>
      <c r="L6" s="37">
        <v>561167</v>
      </c>
      <c r="M6" s="37">
        <v>634199</v>
      </c>
      <c r="N6" s="37">
        <v>599202</v>
      </c>
      <c r="O6" s="37">
        <v>114286</v>
      </c>
      <c r="P6" s="37">
        <v>114286</v>
      </c>
      <c r="Q6" s="37">
        <v>530160</v>
      </c>
      <c r="R6" s="37">
        <v>504726</v>
      </c>
      <c r="S6" s="37">
        <v>697010</v>
      </c>
      <c r="T6" s="48">
        <v>17</v>
      </c>
      <c r="U6" s="37">
        <v>504594</v>
      </c>
      <c r="V6" s="48">
        <v>17</v>
      </c>
      <c r="W6" s="37">
        <v>120562</v>
      </c>
      <c r="X6" s="37">
        <v>560107</v>
      </c>
      <c r="Y6" s="37">
        <v>110000</v>
      </c>
      <c r="Z6" s="37">
        <v>504560</v>
      </c>
      <c r="AA6" s="37">
        <v>114275</v>
      </c>
      <c r="AB6" s="37">
        <v>561201</v>
      </c>
      <c r="AC6" s="37"/>
      <c r="AD6" s="37"/>
      <c r="AE6" s="37"/>
    </row>
    <row r="7" spans="1:31" ht="12.75" customHeight="1">
      <c r="A7" s="37"/>
      <c r="B7" s="37"/>
      <c r="C7" s="48">
        <v>387122</v>
      </c>
      <c r="D7" s="48">
        <v>476057</v>
      </c>
      <c r="E7" s="48">
        <v>120635</v>
      </c>
      <c r="F7" s="48">
        <v>199000</v>
      </c>
      <c r="G7" s="48" t="s">
        <v>221</v>
      </c>
      <c r="H7" s="37">
        <v>120820</v>
      </c>
      <c r="I7" s="37">
        <v>120510</v>
      </c>
      <c r="J7" s="37">
        <v>634401</v>
      </c>
      <c r="K7" s="37">
        <v>530160</v>
      </c>
      <c r="L7" s="37">
        <v>634352</v>
      </c>
      <c r="M7" s="37">
        <v>655011</v>
      </c>
      <c r="N7" s="37">
        <v>562301</v>
      </c>
      <c r="O7" s="37">
        <v>114249</v>
      </c>
      <c r="P7" s="37">
        <v>114249</v>
      </c>
      <c r="Q7" s="37">
        <v>562002</v>
      </c>
      <c r="R7" s="37">
        <v>571106</v>
      </c>
      <c r="S7" s="37">
        <v>620068</v>
      </c>
      <c r="T7" s="48" t="s">
        <v>220</v>
      </c>
      <c r="U7" s="37">
        <v>504592</v>
      </c>
      <c r="V7" s="48" t="s">
        <v>220</v>
      </c>
      <c r="W7" s="37">
        <v>120610</v>
      </c>
      <c r="X7" s="37">
        <v>634162</v>
      </c>
      <c r="Y7" s="37">
        <v>301122</v>
      </c>
      <c r="Z7" s="37">
        <v>562220</v>
      </c>
      <c r="AA7" s="37">
        <v>120820</v>
      </c>
      <c r="AB7" s="37">
        <v>504672</v>
      </c>
      <c r="AC7" s="37"/>
      <c r="AD7" s="37"/>
      <c r="AE7" s="37"/>
    </row>
    <row r="8" spans="1:31" ht="12.75" customHeight="1">
      <c r="A8" s="37"/>
      <c r="B8" s="37"/>
      <c r="C8" s="48">
        <v>504566</v>
      </c>
      <c r="D8" s="48">
        <v>476056</v>
      </c>
      <c r="E8" s="48">
        <v>120747</v>
      </c>
      <c r="F8" s="48">
        <v>120747</v>
      </c>
      <c r="G8" s="48" t="s">
        <v>222</v>
      </c>
      <c r="H8" s="48">
        <v>120860</v>
      </c>
      <c r="I8" s="48">
        <v>130801</v>
      </c>
      <c r="J8" s="48">
        <v>634402</v>
      </c>
      <c r="K8" s="48">
        <v>634199</v>
      </c>
      <c r="L8" s="48">
        <v>17</v>
      </c>
      <c r="M8" s="37">
        <v>634419</v>
      </c>
      <c r="N8" s="37">
        <v>562302</v>
      </c>
      <c r="O8" s="37">
        <v>120860</v>
      </c>
      <c r="P8" s="37">
        <v>114266</v>
      </c>
      <c r="Q8" s="37">
        <v>562011</v>
      </c>
      <c r="R8" s="37">
        <v>585714</v>
      </c>
      <c r="S8" s="37">
        <v>561170</v>
      </c>
      <c r="T8" s="48" t="s">
        <v>221</v>
      </c>
      <c r="U8" s="37">
        <v>562413</v>
      </c>
      <c r="V8" s="48" t="s">
        <v>221</v>
      </c>
      <c r="W8" s="37">
        <v>114286</v>
      </c>
      <c r="X8" s="37">
        <v>719210</v>
      </c>
      <c r="Y8" s="37">
        <v>388135</v>
      </c>
      <c r="Z8" s="37">
        <v>562006</v>
      </c>
      <c r="AA8" s="37">
        <v>199000</v>
      </c>
      <c r="AB8" s="37">
        <v>561201</v>
      </c>
      <c r="AC8" s="37"/>
      <c r="AD8" s="37"/>
      <c r="AE8" s="37"/>
    </row>
    <row r="9" spans="1:31" ht="12.75" customHeight="1">
      <c r="A9" s="37"/>
      <c r="B9" s="37"/>
      <c r="C9" s="48">
        <v>505033</v>
      </c>
      <c r="D9" s="48">
        <v>476061</v>
      </c>
      <c r="E9" s="48">
        <v>387131</v>
      </c>
      <c r="F9" s="48">
        <v>120860</v>
      </c>
      <c r="G9" s="48" t="s">
        <v>223</v>
      </c>
      <c r="H9" s="48">
        <v>199000</v>
      </c>
      <c r="I9" s="48">
        <v>504496</v>
      </c>
      <c r="J9" s="48">
        <v>634360</v>
      </c>
      <c r="K9" s="48">
        <v>655011</v>
      </c>
      <c r="L9" s="48" t="s">
        <v>220</v>
      </c>
      <c r="M9" s="37">
        <v>655125</v>
      </c>
      <c r="N9" s="37">
        <v>562303</v>
      </c>
      <c r="O9" s="37">
        <v>120746</v>
      </c>
      <c r="P9" s="37">
        <v>120860</v>
      </c>
      <c r="Q9" s="37">
        <v>562003</v>
      </c>
      <c r="R9" s="37">
        <v>585718</v>
      </c>
      <c r="S9" s="37">
        <v>655120</v>
      </c>
      <c r="T9" s="48" t="s">
        <v>222</v>
      </c>
      <c r="U9" s="37">
        <v>562414</v>
      </c>
      <c r="V9" s="48" t="s">
        <v>222</v>
      </c>
      <c r="W9" s="37">
        <v>114249</v>
      </c>
      <c r="X9" s="37">
        <v>561106</v>
      </c>
      <c r="Y9" s="37">
        <v>504523</v>
      </c>
      <c r="Z9" s="37">
        <v>562002</v>
      </c>
      <c r="AA9" s="37">
        <v>120747</v>
      </c>
      <c r="AB9" s="37">
        <v>655146</v>
      </c>
      <c r="AC9" s="37"/>
      <c r="AD9" s="37"/>
      <c r="AE9" s="37"/>
    </row>
    <row r="10" spans="1:31" ht="12.75" customHeight="1">
      <c r="A10" s="37"/>
      <c r="B10" s="37"/>
      <c r="C10" s="48">
        <v>505034</v>
      </c>
      <c r="D10" s="48">
        <v>476060</v>
      </c>
      <c r="E10" s="48">
        <v>429737</v>
      </c>
      <c r="F10" s="48">
        <v>120785</v>
      </c>
      <c r="G10" s="48" t="s">
        <v>224</v>
      </c>
      <c r="H10" s="48">
        <v>202055</v>
      </c>
      <c r="I10" s="48">
        <v>504500</v>
      </c>
      <c r="J10" s="48">
        <v>634419</v>
      </c>
      <c r="K10" s="48">
        <v>17</v>
      </c>
      <c r="L10" s="48" t="s">
        <v>221</v>
      </c>
      <c r="M10" s="48">
        <v>17</v>
      </c>
      <c r="N10" s="37">
        <v>562304</v>
      </c>
      <c r="O10" s="37">
        <v>130941</v>
      </c>
      <c r="P10" s="37">
        <v>120746</v>
      </c>
      <c r="Q10" s="37">
        <v>634199</v>
      </c>
      <c r="R10" s="37">
        <v>114251</v>
      </c>
      <c r="S10" s="37">
        <v>634401</v>
      </c>
      <c r="T10" s="48" t="s">
        <v>223</v>
      </c>
      <c r="U10" s="37">
        <v>562415</v>
      </c>
      <c r="V10" s="48" t="s">
        <v>223</v>
      </c>
      <c r="W10" s="37">
        <v>114255</v>
      </c>
      <c r="X10" s="48">
        <v>17</v>
      </c>
      <c r="Y10" s="37">
        <v>504535</v>
      </c>
      <c r="Z10" s="37">
        <v>634402</v>
      </c>
      <c r="AA10" s="37">
        <v>120860</v>
      </c>
      <c r="AB10" s="37">
        <v>634204</v>
      </c>
      <c r="AC10" s="37"/>
      <c r="AD10" s="37"/>
      <c r="AE10" s="37"/>
    </row>
    <row r="11" spans="1:31" ht="12.75" customHeight="1">
      <c r="A11" s="37"/>
      <c r="B11" s="37"/>
      <c r="C11" s="48">
        <v>505044</v>
      </c>
      <c r="D11" s="48">
        <v>476065</v>
      </c>
      <c r="E11" s="48">
        <v>456147</v>
      </c>
      <c r="F11" s="48">
        <v>120562</v>
      </c>
      <c r="G11" s="37" t="s">
        <v>190</v>
      </c>
      <c r="H11" s="48">
        <v>380201</v>
      </c>
      <c r="I11" s="48">
        <v>504560</v>
      </c>
      <c r="J11" s="48">
        <v>388051</v>
      </c>
      <c r="K11" s="48" t="s">
        <v>220</v>
      </c>
      <c r="L11" s="48" t="s">
        <v>222</v>
      </c>
      <c r="M11" s="48" t="s">
        <v>220</v>
      </c>
      <c r="N11" s="37">
        <v>634401</v>
      </c>
      <c r="O11" s="37">
        <v>120784</v>
      </c>
      <c r="P11" s="37">
        <v>130941</v>
      </c>
      <c r="Q11" s="37">
        <v>655011</v>
      </c>
      <c r="R11" s="48">
        <v>17</v>
      </c>
      <c r="S11" s="37">
        <v>634402</v>
      </c>
      <c r="T11" s="48" t="s">
        <v>224</v>
      </c>
      <c r="U11" s="37">
        <v>530161</v>
      </c>
      <c r="V11" s="48" t="s">
        <v>224</v>
      </c>
      <c r="W11" s="37">
        <v>114280</v>
      </c>
      <c r="X11" s="48" t="s">
        <v>220</v>
      </c>
      <c r="Y11" s="37">
        <v>504566</v>
      </c>
      <c r="Z11" s="37">
        <v>655105</v>
      </c>
      <c r="AA11" s="37">
        <v>120785</v>
      </c>
      <c r="AB11" s="48">
        <v>17</v>
      </c>
      <c r="AC11" s="37"/>
      <c r="AD11" s="37"/>
      <c r="AE11" s="37"/>
    </row>
    <row r="12" spans="1:31" ht="12.75" customHeight="1">
      <c r="A12" s="37"/>
      <c r="B12" s="37"/>
      <c r="C12" s="48">
        <v>505045</v>
      </c>
      <c r="D12" s="48">
        <v>476064</v>
      </c>
      <c r="E12" s="48">
        <v>476000</v>
      </c>
      <c r="F12" s="48">
        <v>120563</v>
      </c>
      <c r="G12" s="37" t="s">
        <v>218</v>
      </c>
      <c r="H12" s="48">
        <v>380205</v>
      </c>
      <c r="I12" s="48">
        <v>504561</v>
      </c>
      <c r="J12" s="48">
        <v>388051</v>
      </c>
      <c r="K12" s="48" t="s">
        <v>221</v>
      </c>
      <c r="L12" s="48" t="s">
        <v>223</v>
      </c>
      <c r="M12" s="48" t="s">
        <v>221</v>
      </c>
      <c r="N12" s="37">
        <v>561201</v>
      </c>
      <c r="O12" s="37">
        <v>130850</v>
      </c>
      <c r="P12" s="37">
        <v>120784</v>
      </c>
      <c r="Q12" s="48">
        <v>17</v>
      </c>
      <c r="R12" s="48" t="s">
        <v>220</v>
      </c>
      <c r="S12" s="37">
        <v>634360</v>
      </c>
      <c r="T12" s="37" t="s">
        <v>190</v>
      </c>
      <c r="U12" s="37">
        <v>562416</v>
      </c>
      <c r="V12" s="37" t="s">
        <v>190</v>
      </c>
      <c r="W12" s="37">
        <v>120784</v>
      </c>
      <c r="X12" s="48" t="s">
        <v>221</v>
      </c>
      <c r="Y12" s="37">
        <v>504581</v>
      </c>
      <c r="Z12" s="37">
        <v>655377</v>
      </c>
      <c r="AA12" s="37">
        <v>120784</v>
      </c>
      <c r="AB12" s="48" t="s">
        <v>220</v>
      </c>
      <c r="AC12" s="37"/>
      <c r="AD12" s="37"/>
      <c r="AE12" s="37"/>
    </row>
    <row r="13" spans="1:31" ht="12.75" customHeight="1">
      <c r="A13" s="37"/>
      <c r="B13" s="37"/>
      <c r="C13" s="48">
        <v>505046</v>
      </c>
      <c r="D13" s="48">
        <v>492738</v>
      </c>
      <c r="E13" s="48">
        <v>476012</v>
      </c>
      <c r="F13" s="48">
        <v>492654</v>
      </c>
      <c r="G13" s="37" t="s">
        <v>219</v>
      </c>
      <c r="H13" s="48">
        <v>380218</v>
      </c>
      <c r="I13" s="48">
        <v>505033</v>
      </c>
      <c r="J13" s="48">
        <v>717001</v>
      </c>
      <c r="K13" s="48" t="s">
        <v>222</v>
      </c>
      <c r="L13" s="48" t="s">
        <v>224</v>
      </c>
      <c r="M13" s="48" t="s">
        <v>222</v>
      </c>
      <c r="N13" s="48">
        <v>561203</v>
      </c>
      <c r="O13" s="48">
        <v>130942</v>
      </c>
      <c r="P13" s="48">
        <v>130850</v>
      </c>
      <c r="Q13" s="48" t="s">
        <v>220</v>
      </c>
      <c r="R13" s="48" t="s">
        <v>221</v>
      </c>
      <c r="S13" s="37">
        <v>634419</v>
      </c>
      <c r="T13" s="37" t="s">
        <v>218</v>
      </c>
      <c r="U13" s="37">
        <v>504619</v>
      </c>
      <c r="V13" s="37" t="s">
        <v>218</v>
      </c>
      <c r="W13" s="37">
        <v>130941</v>
      </c>
      <c r="X13" s="48" t="s">
        <v>222</v>
      </c>
      <c r="Y13" s="37">
        <v>562012</v>
      </c>
      <c r="Z13" s="37">
        <v>655125</v>
      </c>
      <c r="AA13" s="37">
        <v>120800</v>
      </c>
      <c r="AB13" s="48" t="s">
        <v>221</v>
      </c>
      <c r="AC13" s="37"/>
      <c r="AD13" s="37"/>
      <c r="AE13" s="37"/>
    </row>
    <row r="14" spans="1:31" ht="12.75" customHeight="1">
      <c r="A14" s="37"/>
      <c r="B14" s="37"/>
      <c r="C14" s="48">
        <v>505048</v>
      </c>
      <c r="D14" s="48">
        <v>492654</v>
      </c>
      <c r="E14" s="48">
        <v>476018</v>
      </c>
      <c r="F14" s="48">
        <v>130841</v>
      </c>
      <c r="G14" s="48"/>
      <c r="H14" s="48">
        <v>390687</v>
      </c>
      <c r="I14" s="48">
        <v>17</v>
      </c>
      <c r="J14" s="37">
        <v>390536</v>
      </c>
      <c r="K14" s="48" t="s">
        <v>223</v>
      </c>
      <c r="L14" s="37" t="s">
        <v>190</v>
      </c>
      <c r="M14" s="48" t="s">
        <v>223</v>
      </c>
      <c r="N14" s="37">
        <v>561163</v>
      </c>
      <c r="O14" s="37">
        <v>571200</v>
      </c>
      <c r="P14" s="37">
        <v>130942</v>
      </c>
      <c r="Q14" s="48" t="s">
        <v>221</v>
      </c>
      <c r="R14" s="48" t="s">
        <v>222</v>
      </c>
      <c r="S14" s="37">
        <v>388051</v>
      </c>
      <c r="T14" s="37" t="s">
        <v>219</v>
      </c>
      <c r="U14" s="37">
        <v>561123</v>
      </c>
      <c r="V14" s="37" t="s">
        <v>219</v>
      </c>
      <c r="W14" s="37">
        <v>130942</v>
      </c>
      <c r="X14" s="48" t="s">
        <v>223</v>
      </c>
      <c r="Y14" s="37">
        <v>562013</v>
      </c>
      <c r="Z14" s="48">
        <v>17</v>
      </c>
      <c r="AA14" s="37">
        <v>120555</v>
      </c>
      <c r="AB14" s="48" t="s">
        <v>222</v>
      </c>
      <c r="AC14" s="37"/>
      <c r="AD14" s="37"/>
      <c r="AE14" s="37"/>
    </row>
    <row r="15" spans="1:31" ht="12.75" customHeight="1">
      <c r="A15" s="37"/>
      <c r="B15" s="37"/>
      <c r="C15" s="48">
        <v>561139</v>
      </c>
      <c r="D15" s="48">
        <v>492728</v>
      </c>
      <c r="E15" s="48">
        <v>476019</v>
      </c>
      <c r="F15" s="48">
        <v>524525</v>
      </c>
      <c r="G15" s="48"/>
      <c r="H15" s="48">
        <v>492654</v>
      </c>
      <c r="I15" s="48" t="s">
        <v>220</v>
      </c>
      <c r="J15" s="37">
        <v>799097</v>
      </c>
      <c r="K15" s="48" t="s">
        <v>224</v>
      </c>
      <c r="L15" s="37" t="s">
        <v>218</v>
      </c>
      <c r="M15" s="48" t="s">
        <v>224</v>
      </c>
      <c r="N15" s="37">
        <v>561141</v>
      </c>
      <c r="O15" s="37">
        <v>201030</v>
      </c>
      <c r="P15" s="37">
        <v>210019</v>
      </c>
      <c r="Q15" s="48" t="s">
        <v>222</v>
      </c>
      <c r="R15" s="48" t="s">
        <v>223</v>
      </c>
      <c r="S15" s="37">
        <v>717001</v>
      </c>
      <c r="T15" s="37"/>
      <c r="U15" s="37">
        <v>711214</v>
      </c>
      <c r="V15" s="37"/>
      <c r="W15" s="37">
        <v>110800</v>
      </c>
      <c r="X15" s="48" t="s">
        <v>224</v>
      </c>
      <c r="Y15" s="37">
        <v>530160</v>
      </c>
      <c r="Z15" s="48" t="s">
        <v>220</v>
      </c>
      <c r="AA15" s="37">
        <v>120562</v>
      </c>
      <c r="AB15" s="48" t="s">
        <v>223</v>
      </c>
      <c r="AC15" s="37"/>
      <c r="AD15" s="37"/>
      <c r="AE15" s="37"/>
    </row>
    <row r="16" spans="1:31" ht="12.75" customHeight="1">
      <c r="A16" s="37"/>
      <c r="B16" s="37"/>
      <c r="C16" s="48">
        <v>561147</v>
      </c>
      <c r="D16" s="48">
        <v>492651</v>
      </c>
      <c r="E16" s="48">
        <v>476020</v>
      </c>
      <c r="F16" s="48">
        <v>202055</v>
      </c>
      <c r="G16" s="48"/>
      <c r="H16" s="48">
        <v>504515</v>
      </c>
      <c r="I16" s="48" t="s">
        <v>221</v>
      </c>
      <c r="J16" s="37">
        <v>974008</v>
      </c>
      <c r="K16" s="37" t="s">
        <v>190</v>
      </c>
      <c r="L16" s="37" t="s">
        <v>219</v>
      </c>
      <c r="M16" s="37" t="s">
        <v>190</v>
      </c>
      <c r="N16" s="37">
        <v>504570</v>
      </c>
      <c r="O16" s="37">
        <v>201032</v>
      </c>
      <c r="P16" s="37">
        <v>571200</v>
      </c>
      <c r="Q16" s="48" t="s">
        <v>223</v>
      </c>
      <c r="R16" s="48" t="s">
        <v>224</v>
      </c>
      <c r="S16" s="37">
        <v>390536</v>
      </c>
      <c r="T16" s="37"/>
      <c r="U16" s="48">
        <v>17</v>
      </c>
      <c r="V16" s="37"/>
      <c r="W16" s="37">
        <v>210019</v>
      </c>
      <c r="X16" s="37" t="s">
        <v>190</v>
      </c>
      <c r="Y16" s="37">
        <v>585405</v>
      </c>
      <c r="Z16" s="48" t="s">
        <v>221</v>
      </c>
      <c r="AA16" s="37">
        <v>120563</v>
      </c>
      <c r="AB16" s="48" t="s">
        <v>224</v>
      </c>
      <c r="AC16" s="37"/>
      <c r="AD16" s="37"/>
      <c r="AE16" s="37"/>
    </row>
    <row r="17" spans="3:28" ht="12.75" customHeight="1">
      <c r="C17" s="48">
        <v>561148</v>
      </c>
      <c r="D17" s="48">
        <v>17</v>
      </c>
      <c r="E17" s="48">
        <v>486120</v>
      </c>
      <c r="F17" s="48">
        <v>202056</v>
      </c>
      <c r="G17" s="48"/>
      <c r="H17" s="48">
        <v>504516</v>
      </c>
      <c r="I17" s="48" t="s">
        <v>222</v>
      </c>
      <c r="J17" s="48">
        <v>110701</v>
      </c>
      <c r="K17" s="37" t="s">
        <v>218</v>
      </c>
      <c r="L17" s="48"/>
      <c r="M17" s="37" t="s">
        <v>218</v>
      </c>
      <c r="N17" s="48">
        <v>504577</v>
      </c>
      <c r="O17" s="48">
        <v>301312</v>
      </c>
      <c r="P17" s="48">
        <v>201030</v>
      </c>
      <c r="Q17" s="48" t="s">
        <v>224</v>
      </c>
      <c r="R17" s="37" t="s">
        <v>190</v>
      </c>
      <c r="S17" s="48">
        <v>110701</v>
      </c>
      <c r="T17" s="37"/>
      <c r="U17" s="48" t="s">
        <v>220</v>
      </c>
      <c r="V17" s="37"/>
      <c r="W17" s="37">
        <v>571200</v>
      </c>
      <c r="X17" s="37" t="s">
        <v>218</v>
      </c>
      <c r="Y17" s="37">
        <v>585412</v>
      </c>
      <c r="Z17" s="48" t="s">
        <v>222</v>
      </c>
      <c r="AA17" s="37">
        <v>492654</v>
      </c>
      <c r="AB17" s="37" t="s">
        <v>190</v>
      </c>
    </row>
    <row r="18" spans="3:28" ht="12.75" customHeight="1">
      <c r="C18" s="48">
        <v>561149</v>
      </c>
      <c r="D18" s="48" t="s">
        <v>220</v>
      </c>
      <c r="E18" s="48">
        <v>492655</v>
      </c>
      <c r="F18" s="48">
        <v>301010</v>
      </c>
      <c r="G18" s="48"/>
      <c r="H18" s="48">
        <v>504546</v>
      </c>
      <c r="I18" s="48" t="s">
        <v>223</v>
      </c>
      <c r="J18" s="48">
        <v>110702</v>
      </c>
      <c r="K18" s="37" t="s">
        <v>219</v>
      </c>
      <c r="L18" s="48"/>
      <c r="M18" s="37" t="s">
        <v>219</v>
      </c>
      <c r="N18" s="48">
        <v>599203</v>
      </c>
      <c r="O18" s="48">
        <v>380215</v>
      </c>
      <c r="P18" s="48">
        <v>201032</v>
      </c>
      <c r="Q18" s="37" t="s">
        <v>190</v>
      </c>
      <c r="R18" s="37" t="s">
        <v>218</v>
      </c>
      <c r="S18" s="48">
        <v>110702</v>
      </c>
      <c r="T18" s="37"/>
      <c r="U18" s="48" t="s">
        <v>221</v>
      </c>
      <c r="V18" s="37"/>
      <c r="W18" s="37">
        <v>862102</v>
      </c>
      <c r="X18" s="37" t="s">
        <v>219</v>
      </c>
      <c r="Y18" s="37">
        <v>585424</v>
      </c>
      <c r="Z18" s="48" t="s">
        <v>223</v>
      </c>
      <c r="AA18" s="37">
        <v>130841</v>
      </c>
      <c r="AB18" s="37" t="s">
        <v>218</v>
      </c>
    </row>
    <row r="19" spans="3:28" ht="12.75" customHeight="1">
      <c r="C19" s="48">
        <v>561154</v>
      </c>
      <c r="D19" s="48" t="s">
        <v>221</v>
      </c>
      <c r="E19" s="48">
        <v>492664</v>
      </c>
      <c r="F19" s="48">
        <v>390341</v>
      </c>
      <c r="G19" s="48"/>
      <c r="H19" s="48">
        <v>504550</v>
      </c>
      <c r="I19" s="48" t="s">
        <v>224</v>
      </c>
      <c r="J19" s="48">
        <v>110703</v>
      </c>
      <c r="K19" s="48"/>
      <c r="L19" s="48"/>
      <c r="M19" s="48"/>
      <c r="N19" s="48">
        <v>599204</v>
      </c>
      <c r="O19" s="48">
        <v>380207</v>
      </c>
      <c r="P19" s="48">
        <v>301312</v>
      </c>
      <c r="Q19" s="37" t="s">
        <v>218</v>
      </c>
      <c r="R19" s="37" t="s">
        <v>219</v>
      </c>
      <c r="S19" s="48">
        <v>110703</v>
      </c>
      <c r="T19" s="37"/>
      <c r="U19" s="48" t="s">
        <v>222</v>
      </c>
      <c r="V19" s="37"/>
      <c r="W19" s="48">
        <v>380215</v>
      </c>
      <c r="X19" s="37"/>
      <c r="Y19" s="48">
        <v>17</v>
      </c>
      <c r="Z19" s="48" t="s">
        <v>224</v>
      </c>
      <c r="AA19" s="37">
        <v>120630</v>
      </c>
      <c r="AB19" s="37" t="s">
        <v>219</v>
      </c>
    </row>
    <row r="20" spans="3:28" ht="12.75" customHeight="1">
      <c r="C20" s="48">
        <v>561155</v>
      </c>
      <c r="D20" s="48" t="s">
        <v>222</v>
      </c>
      <c r="E20" s="48">
        <v>492665</v>
      </c>
      <c r="F20" s="48">
        <v>380205</v>
      </c>
      <c r="G20" s="48"/>
      <c r="H20" s="48">
        <v>504558</v>
      </c>
      <c r="I20" s="37" t="s">
        <v>190</v>
      </c>
      <c r="J20" s="48">
        <v>110704</v>
      </c>
      <c r="K20" s="37"/>
      <c r="L20" s="37"/>
      <c r="M20" s="37"/>
      <c r="N20" s="48">
        <v>562305</v>
      </c>
      <c r="O20" s="48">
        <v>380212</v>
      </c>
      <c r="P20" s="48">
        <v>380207</v>
      </c>
      <c r="Q20" s="37" t="s">
        <v>219</v>
      </c>
      <c r="R20" s="37"/>
      <c r="S20" s="48">
        <v>110704</v>
      </c>
      <c r="T20" s="37"/>
      <c r="U20" s="48" t="s">
        <v>223</v>
      </c>
      <c r="V20" s="37"/>
      <c r="W20" s="48">
        <v>380206</v>
      </c>
      <c r="X20" s="37"/>
      <c r="Y20" s="48" t="s">
        <v>220</v>
      </c>
      <c r="Z20" s="37" t="s">
        <v>190</v>
      </c>
      <c r="AA20" s="37">
        <v>120631</v>
      </c>
      <c r="AB20" s="37"/>
    </row>
    <row r="21" spans="3:28" ht="12.75" customHeight="1">
      <c r="C21" s="48">
        <v>561156</v>
      </c>
      <c r="D21" s="48" t="s">
        <v>223</v>
      </c>
      <c r="E21" s="48">
        <v>492675</v>
      </c>
      <c r="F21" s="48">
        <v>380218</v>
      </c>
      <c r="G21" s="48"/>
      <c r="H21" s="48">
        <v>504564</v>
      </c>
      <c r="I21" s="37" t="s">
        <v>218</v>
      </c>
      <c r="J21" s="48">
        <v>110705</v>
      </c>
      <c r="K21" s="37"/>
      <c r="L21" s="37"/>
      <c r="M21" s="37"/>
      <c r="N21" s="48">
        <v>562306</v>
      </c>
      <c r="O21" s="48">
        <v>301322</v>
      </c>
      <c r="P21" s="48">
        <v>380212</v>
      </c>
      <c r="Q21" s="37"/>
      <c r="R21" s="37"/>
      <c r="S21" s="48">
        <v>110705</v>
      </c>
      <c r="T21" s="37"/>
      <c r="U21" s="48" t="s">
        <v>224</v>
      </c>
      <c r="V21" s="37"/>
      <c r="W21" s="48">
        <v>380207</v>
      </c>
      <c r="X21" s="37"/>
      <c r="Y21" s="48" t="s">
        <v>221</v>
      </c>
      <c r="Z21" s="37" t="s">
        <v>218</v>
      </c>
      <c r="AA21" s="37">
        <v>120502</v>
      </c>
      <c r="AB21" s="37"/>
    </row>
    <row r="22" spans="3:28" ht="12.75" customHeight="1">
      <c r="C22" s="48">
        <v>561157</v>
      </c>
      <c r="D22" s="48" t="s">
        <v>224</v>
      </c>
      <c r="E22" s="48">
        <v>492701</v>
      </c>
      <c r="F22" s="48">
        <v>524299</v>
      </c>
      <c r="G22" s="48"/>
      <c r="H22" s="48">
        <v>504582</v>
      </c>
      <c r="I22" s="37" t="s">
        <v>219</v>
      </c>
      <c r="J22" s="48">
        <v>634409</v>
      </c>
      <c r="K22" s="37"/>
      <c r="L22" s="37"/>
      <c r="M22" s="37"/>
      <c r="N22" s="48">
        <v>634402</v>
      </c>
      <c r="O22" s="48">
        <v>388066</v>
      </c>
      <c r="P22" s="48">
        <v>301322</v>
      </c>
      <c r="Q22" s="37"/>
      <c r="R22" s="37"/>
      <c r="S22" s="48">
        <v>17</v>
      </c>
      <c r="T22" s="37"/>
      <c r="U22" s="37" t="s">
        <v>190</v>
      </c>
      <c r="V22" s="37"/>
      <c r="W22" s="37">
        <v>380201</v>
      </c>
      <c r="X22" s="37"/>
      <c r="Y22" s="48" t="s">
        <v>222</v>
      </c>
      <c r="Z22" s="37" t="s">
        <v>219</v>
      </c>
      <c r="AA22" s="37">
        <v>201050</v>
      </c>
      <c r="AB22" s="37"/>
    </row>
    <row r="23" spans="3:28" ht="12.75" customHeight="1">
      <c r="C23" s="48">
        <v>562400</v>
      </c>
      <c r="D23" s="37" t="s">
        <v>190</v>
      </c>
      <c r="E23" s="48">
        <v>492722</v>
      </c>
      <c r="F23" s="48">
        <v>504500</v>
      </c>
      <c r="G23" s="48"/>
      <c r="H23" s="48">
        <v>504621</v>
      </c>
      <c r="I23" s="48"/>
      <c r="J23" s="48">
        <v>130851</v>
      </c>
      <c r="K23" s="48"/>
      <c r="L23" s="48"/>
      <c r="M23" s="48"/>
      <c r="N23" s="48">
        <v>561144</v>
      </c>
      <c r="O23" s="48">
        <v>520109</v>
      </c>
      <c r="P23" s="48">
        <v>388066</v>
      </c>
      <c r="Q23" s="48"/>
      <c r="R23" s="48"/>
      <c r="S23" s="48" t="s">
        <v>220</v>
      </c>
      <c r="T23" s="48"/>
      <c r="U23" s="37" t="s">
        <v>218</v>
      </c>
      <c r="V23" s="37"/>
      <c r="W23" s="37">
        <v>380212</v>
      </c>
      <c r="X23" s="37"/>
      <c r="Y23" s="48" t="s">
        <v>223</v>
      </c>
      <c r="Z23" s="37"/>
      <c r="AA23" s="37">
        <v>202055</v>
      </c>
      <c r="AB23" s="48"/>
    </row>
    <row r="24" spans="3:28" ht="12.75" customHeight="1">
      <c r="C24" s="48">
        <v>562401</v>
      </c>
      <c r="D24" s="37" t="s">
        <v>218</v>
      </c>
      <c r="E24" s="48">
        <v>492723</v>
      </c>
      <c r="F24" s="48">
        <v>504530</v>
      </c>
      <c r="G24" s="48"/>
      <c r="H24" s="48">
        <v>504624</v>
      </c>
      <c r="I24" s="48"/>
      <c r="J24" s="48">
        <v>17</v>
      </c>
      <c r="K24" s="48"/>
      <c r="L24" s="48"/>
      <c r="M24" s="48"/>
      <c r="N24" s="37">
        <v>561202</v>
      </c>
      <c r="O24" s="37">
        <v>520111</v>
      </c>
      <c r="P24" s="37">
        <v>520109</v>
      </c>
      <c r="Q24" s="48"/>
      <c r="R24" s="48"/>
      <c r="S24" s="48" t="s">
        <v>221</v>
      </c>
      <c r="T24" s="48"/>
      <c r="U24" s="37" t="s">
        <v>219</v>
      </c>
      <c r="V24" s="37"/>
      <c r="W24" s="37">
        <v>301322</v>
      </c>
      <c r="X24" s="37"/>
      <c r="Y24" s="48" t="s">
        <v>224</v>
      </c>
      <c r="Z24" s="37"/>
      <c r="AA24" s="37">
        <v>203030</v>
      </c>
      <c r="AB24" s="48"/>
    </row>
    <row r="25" spans="3:28" ht="12.75" customHeight="1">
      <c r="C25" s="48">
        <v>562402</v>
      </c>
      <c r="D25" s="37" t="s">
        <v>219</v>
      </c>
      <c r="E25" s="48">
        <v>492724</v>
      </c>
      <c r="F25" s="48">
        <v>504511</v>
      </c>
      <c r="G25" s="48"/>
      <c r="H25" s="48">
        <v>505050</v>
      </c>
      <c r="I25" s="48"/>
      <c r="J25" s="48" t="s">
        <v>220</v>
      </c>
      <c r="K25" s="48"/>
      <c r="L25" s="48"/>
      <c r="M25" s="48"/>
      <c r="N25" s="37">
        <v>561205</v>
      </c>
      <c r="O25" s="37">
        <v>520113</v>
      </c>
      <c r="P25" s="37">
        <v>520111</v>
      </c>
      <c r="Q25" s="48"/>
      <c r="R25" s="48"/>
      <c r="S25" s="48" t="s">
        <v>222</v>
      </c>
      <c r="T25" s="48"/>
      <c r="U25" s="48"/>
      <c r="V25" s="48"/>
      <c r="W25" s="37">
        <v>388066</v>
      </c>
      <c r="X25" s="48"/>
      <c r="Y25" s="37" t="s">
        <v>190</v>
      </c>
      <c r="Z25" s="37"/>
      <c r="AA25" s="37">
        <v>201041</v>
      </c>
      <c r="AB25" s="48"/>
    </row>
    <row r="26" spans="3:28" ht="12.75" customHeight="1">
      <c r="C26" s="48">
        <v>562403</v>
      </c>
      <c r="D26" s="37"/>
      <c r="E26" s="48">
        <v>492726</v>
      </c>
      <c r="F26" s="48">
        <v>504541</v>
      </c>
      <c r="G26" s="48"/>
      <c r="H26" s="48">
        <v>561106</v>
      </c>
      <c r="I26" s="48"/>
      <c r="J26" s="48" t="s">
        <v>221</v>
      </c>
      <c r="K26" s="48"/>
      <c r="L26" s="48"/>
      <c r="M26" s="48"/>
      <c r="N26" s="37">
        <v>561204</v>
      </c>
      <c r="O26" s="37">
        <v>524299</v>
      </c>
      <c r="P26" s="37">
        <v>520113</v>
      </c>
      <c r="Q26" s="48"/>
      <c r="R26" s="48"/>
      <c r="S26" s="48" t="s">
        <v>223</v>
      </c>
      <c r="T26" s="48"/>
      <c r="U26" s="48"/>
      <c r="V26" s="48"/>
      <c r="W26" s="37">
        <v>380209</v>
      </c>
      <c r="X26" s="48"/>
      <c r="Y26" s="37" t="s">
        <v>218</v>
      </c>
      <c r="Z26" s="37"/>
      <c r="AA26" s="37">
        <v>210030</v>
      </c>
      <c r="AB26" s="48"/>
    </row>
    <row r="27" spans="3:28" ht="12.75" customHeight="1">
      <c r="C27" s="48">
        <v>562404</v>
      </c>
      <c r="D27" s="37"/>
      <c r="E27" s="48">
        <v>492727</v>
      </c>
      <c r="F27" s="48">
        <v>504558</v>
      </c>
      <c r="G27" s="48"/>
      <c r="H27" s="48">
        <v>571152</v>
      </c>
      <c r="I27" s="48"/>
      <c r="J27" s="48" t="s">
        <v>222</v>
      </c>
      <c r="K27" s="48"/>
      <c r="L27" s="48"/>
      <c r="M27" s="48"/>
      <c r="N27" s="48">
        <v>17</v>
      </c>
      <c r="O27" s="37">
        <v>504500</v>
      </c>
      <c r="P27" s="37">
        <v>524299</v>
      </c>
      <c r="Q27" s="48"/>
      <c r="R27" s="48"/>
      <c r="S27" s="48" t="s">
        <v>224</v>
      </c>
      <c r="T27" s="48"/>
      <c r="U27" s="48"/>
      <c r="V27" s="48"/>
      <c r="W27" s="37">
        <v>390321</v>
      </c>
      <c r="X27" s="48"/>
      <c r="Y27" s="37" t="s">
        <v>219</v>
      </c>
      <c r="Z27" s="37"/>
      <c r="AA27" s="37">
        <v>301010</v>
      </c>
      <c r="AB27" s="48"/>
    </row>
    <row r="28" spans="3:28" ht="12.75" customHeight="1">
      <c r="C28" s="48">
        <v>562405</v>
      </c>
      <c r="D28" s="37"/>
      <c r="E28" s="48">
        <v>492728</v>
      </c>
      <c r="F28" s="48">
        <v>504589</v>
      </c>
      <c r="G28" s="48"/>
      <c r="H28" s="48">
        <v>585340</v>
      </c>
      <c r="I28" s="48"/>
      <c r="J28" s="48" t="s">
        <v>223</v>
      </c>
      <c r="K28" s="48"/>
      <c r="L28" s="48"/>
      <c r="M28" s="48"/>
      <c r="N28" s="48" t="s">
        <v>220</v>
      </c>
      <c r="O28" s="37">
        <v>504530</v>
      </c>
      <c r="P28" s="37">
        <v>504500</v>
      </c>
      <c r="Q28" s="48"/>
      <c r="R28" s="48"/>
      <c r="S28" s="37" t="s">
        <v>190</v>
      </c>
      <c r="T28" s="37"/>
      <c r="U28" s="37"/>
      <c r="V28" s="37"/>
      <c r="W28" s="37">
        <v>520114</v>
      </c>
      <c r="X28" s="37"/>
      <c r="Y28" s="37"/>
      <c r="Z28" s="37"/>
      <c r="AA28" s="37">
        <v>301011</v>
      </c>
      <c r="AB28" s="37"/>
    </row>
    <row r="29" spans="3:28" ht="12.75" customHeight="1">
      <c r="C29" s="48">
        <v>562406</v>
      </c>
      <c r="D29" s="37"/>
      <c r="E29" s="48">
        <v>492729</v>
      </c>
      <c r="F29" s="48">
        <v>504564</v>
      </c>
      <c r="G29" s="48"/>
      <c r="H29" s="48">
        <v>585342</v>
      </c>
      <c r="I29" s="48"/>
      <c r="J29" s="48" t="s">
        <v>224</v>
      </c>
      <c r="K29" s="48"/>
      <c r="L29" s="48"/>
      <c r="M29" s="48"/>
      <c r="N29" s="48" t="s">
        <v>221</v>
      </c>
      <c r="O29" s="37">
        <v>504560</v>
      </c>
      <c r="P29" s="37">
        <v>504530</v>
      </c>
      <c r="Q29" s="48"/>
      <c r="R29" s="48"/>
      <c r="S29" s="37" t="s">
        <v>218</v>
      </c>
      <c r="T29" s="37"/>
      <c r="U29" s="37"/>
      <c r="V29" s="37"/>
      <c r="W29" s="37">
        <v>520109</v>
      </c>
      <c r="X29" s="37"/>
      <c r="Y29" s="37"/>
      <c r="Z29" s="37"/>
      <c r="AA29" s="37">
        <v>301012</v>
      </c>
      <c r="AB29" s="37"/>
    </row>
    <row r="30" spans="3:28" ht="12.75" customHeight="1">
      <c r="C30" s="48">
        <v>562407</v>
      </c>
      <c r="D30" s="37"/>
      <c r="E30" s="48">
        <v>492730</v>
      </c>
      <c r="F30" s="48">
        <v>504582</v>
      </c>
      <c r="G30" s="48"/>
      <c r="H30" s="48">
        <v>585361</v>
      </c>
      <c r="I30" s="48"/>
      <c r="J30" s="37" t="s">
        <v>190</v>
      </c>
      <c r="K30" s="37"/>
      <c r="L30" s="37"/>
      <c r="M30" s="37"/>
      <c r="N30" s="48" t="s">
        <v>222</v>
      </c>
      <c r="O30" s="48">
        <v>504513</v>
      </c>
      <c r="P30" s="48">
        <v>504560</v>
      </c>
      <c r="Q30" s="37"/>
      <c r="R30" s="37"/>
      <c r="S30" s="37" t="s">
        <v>219</v>
      </c>
      <c r="T30" s="37"/>
      <c r="U30" s="37"/>
      <c r="V30" s="37"/>
      <c r="W30" s="48">
        <v>520111</v>
      </c>
      <c r="X30" s="37"/>
      <c r="Y30" s="37"/>
      <c r="Z30" s="37"/>
      <c r="AA30" s="48">
        <v>390340</v>
      </c>
      <c r="AB30" s="37"/>
    </row>
    <row r="31" spans="3:28" ht="12.75" customHeight="1">
      <c r="C31" s="48">
        <v>562408</v>
      </c>
      <c r="D31" s="37"/>
      <c r="E31" s="48">
        <v>492738</v>
      </c>
      <c r="F31" s="48">
        <v>530161</v>
      </c>
      <c r="G31" s="48"/>
      <c r="H31" s="48">
        <v>585405</v>
      </c>
      <c r="I31" s="48"/>
      <c r="J31" s="37" t="s">
        <v>218</v>
      </c>
      <c r="K31" s="37"/>
      <c r="L31" s="37"/>
      <c r="M31" s="37"/>
      <c r="N31" s="48" t="s">
        <v>223</v>
      </c>
      <c r="O31" s="48">
        <v>504543</v>
      </c>
      <c r="P31" s="48">
        <v>504513</v>
      </c>
      <c r="Q31" s="37"/>
      <c r="R31" s="37"/>
      <c r="S31" s="37"/>
      <c r="T31" s="37"/>
      <c r="U31" s="37"/>
      <c r="V31" s="37"/>
      <c r="W31" s="48">
        <v>520113</v>
      </c>
      <c r="X31" s="37"/>
      <c r="Y31" s="37"/>
      <c r="Z31" s="37"/>
      <c r="AA31" s="48">
        <v>390341</v>
      </c>
      <c r="AB31" s="37"/>
    </row>
    <row r="32" spans="3:28" ht="12.75" customHeight="1">
      <c r="C32" s="48">
        <v>562409</v>
      </c>
      <c r="D32" s="37"/>
      <c r="E32" s="48">
        <v>504636</v>
      </c>
      <c r="F32" s="48">
        <v>599200</v>
      </c>
      <c r="G32" s="48"/>
      <c r="H32" s="48">
        <v>585433</v>
      </c>
      <c r="I32" s="48"/>
      <c r="J32" s="37" t="s">
        <v>219</v>
      </c>
      <c r="K32" s="37"/>
      <c r="L32" s="37"/>
      <c r="M32" s="37"/>
      <c r="N32" s="48" t="s">
        <v>224</v>
      </c>
      <c r="O32" s="48">
        <v>504600</v>
      </c>
      <c r="P32" s="48">
        <v>504543</v>
      </c>
      <c r="Q32" s="37"/>
      <c r="R32" s="37"/>
      <c r="S32" s="37"/>
      <c r="T32" s="37"/>
      <c r="U32" s="37"/>
      <c r="V32" s="37"/>
      <c r="W32" s="48">
        <v>524299</v>
      </c>
      <c r="X32" s="37"/>
      <c r="Y32" s="37"/>
      <c r="Z32" s="37"/>
      <c r="AA32" s="48">
        <v>301320</v>
      </c>
      <c r="AB32" s="37"/>
    </row>
    <row r="33" spans="3:28" ht="12.75" customHeight="1">
      <c r="C33" s="48">
        <v>562410</v>
      </c>
      <c r="D33" s="37"/>
      <c r="E33" s="48">
        <v>505051</v>
      </c>
      <c r="F33" s="48">
        <v>571206</v>
      </c>
      <c r="G33" s="48"/>
      <c r="H33" s="48">
        <v>615582</v>
      </c>
      <c r="I33" s="48"/>
      <c r="J33" s="48"/>
      <c r="K33" s="48"/>
      <c r="L33" s="48"/>
      <c r="M33" s="48"/>
      <c r="N33" s="37" t="s">
        <v>190</v>
      </c>
      <c r="O33" s="48">
        <v>530112</v>
      </c>
      <c r="P33" s="48">
        <v>504600</v>
      </c>
      <c r="Q33" s="37"/>
      <c r="R33" s="37"/>
      <c r="S33" s="37"/>
      <c r="T33" s="37"/>
      <c r="U33" s="37"/>
      <c r="V33" s="37"/>
      <c r="W33" s="48">
        <v>504500</v>
      </c>
      <c r="X33" s="37"/>
      <c r="Y33" s="37"/>
      <c r="Z33" s="37"/>
      <c r="AA33" s="48">
        <v>302515</v>
      </c>
      <c r="AB33" s="37"/>
    </row>
    <row r="34" spans="3:28" ht="12.75" customHeight="1">
      <c r="C34" s="48">
        <v>562411</v>
      </c>
      <c r="D34" s="37"/>
      <c r="E34" s="48">
        <v>505052</v>
      </c>
      <c r="F34" s="48">
        <v>561131</v>
      </c>
      <c r="G34" s="48"/>
      <c r="H34" s="48">
        <v>616250</v>
      </c>
      <c r="I34" s="48"/>
      <c r="J34" s="48"/>
      <c r="K34" s="48"/>
      <c r="L34" s="48"/>
      <c r="M34" s="48"/>
      <c r="N34" s="37" t="s">
        <v>218</v>
      </c>
      <c r="O34" s="48">
        <v>561115</v>
      </c>
      <c r="P34" s="48">
        <v>530112</v>
      </c>
      <c r="Q34" s="37"/>
      <c r="R34" s="37"/>
      <c r="S34" s="37"/>
      <c r="T34" s="37"/>
      <c r="U34" s="37"/>
      <c r="V34" s="37"/>
      <c r="W34" s="48">
        <v>504530</v>
      </c>
      <c r="X34" s="37"/>
      <c r="Y34" s="37"/>
      <c r="Z34" s="37"/>
      <c r="AA34" s="48">
        <v>302518</v>
      </c>
      <c r="AB34" s="37"/>
    </row>
    <row r="35" spans="3:28" ht="12.75" customHeight="1">
      <c r="C35" s="48">
        <v>562412</v>
      </c>
      <c r="D35" s="37"/>
      <c r="E35" s="48">
        <v>505053</v>
      </c>
      <c r="F35" s="48">
        <v>585405</v>
      </c>
      <c r="G35" s="48"/>
      <c r="H35" s="48">
        <v>616615</v>
      </c>
      <c r="I35" s="48"/>
      <c r="J35" s="48"/>
      <c r="K35" s="48"/>
      <c r="L35" s="48"/>
      <c r="M35" s="48"/>
      <c r="N35" s="37" t="s">
        <v>219</v>
      </c>
      <c r="O35" s="48">
        <v>562004</v>
      </c>
      <c r="P35" s="48">
        <v>561115</v>
      </c>
      <c r="Q35" s="37"/>
      <c r="R35" s="37"/>
      <c r="S35" s="37"/>
      <c r="T35" s="37"/>
      <c r="U35" s="37"/>
      <c r="V35" s="37"/>
      <c r="W35" s="48">
        <v>504560</v>
      </c>
      <c r="X35" s="37"/>
      <c r="Y35" s="37"/>
      <c r="Z35" s="37"/>
      <c r="AA35" s="48">
        <v>302521</v>
      </c>
      <c r="AB35" s="37"/>
    </row>
    <row r="36" spans="3:28" ht="12.75" customHeight="1">
      <c r="C36" s="48">
        <v>585366</v>
      </c>
      <c r="D36" s="37"/>
      <c r="E36" s="48">
        <v>505054</v>
      </c>
      <c r="F36" s="48">
        <v>585424</v>
      </c>
      <c r="G36" s="48"/>
      <c r="H36" s="48">
        <v>634417</v>
      </c>
      <c r="I36" s="48"/>
      <c r="J36" s="48"/>
      <c r="K36" s="48"/>
      <c r="L36" s="48"/>
      <c r="M36" s="48"/>
      <c r="N36" s="48"/>
      <c r="O36" s="48">
        <v>571015</v>
      </c>
      <c r="P36" s="48">
        <v>571015</v>
      </c>
      <c r="Q36" s="48"/>
      <c r="R36" s="48"/>
      <c r="S36" s="48"/>
      <c r="T36" s="48"/>
      <c r="U36" s="48"/>
      <c r="V36" s="48"/>
      <c r="W36" s="48">
        <v>504513</v>
      </c>
      <c r="X36" s="48"/>
      <c r="Y36" s="48"/>
      <c r="Z36" s="48"/>
      <c r="AA36" s="48">
        <v>302524</v>
      </c>
      <c r="AB36" s="48"/>
    </row>
    <row r="37" spans="3:28" ht="12.75" customHeight="1">
      <c r="C37" s="48">
        <v>585367</v>
      </c>
      <c r="D37" s="37"/>
      <c r="E37" s="48">
        <v>505055</v>
      </c>
      <c r="F37" s="48">
        <v>585433</v>
      </c>
      <c r="G37" s="48"/>
      <c r="H37" s="48">
        <v>634430</v>
      </c>
      <c r="I37" s="48"/>
      <c r="J37" s="48"/>
      <c r="K37" s="48"/>
      <c r="L37" s="48"/>
      <c r="M37" s="48"/>
      <c r="N37" s="48"/>
      <c r="O37" s="48">
        <v>571020</v>
      </c>
      <c r="P37" s="48">
        <v>571020</v>
      </c>
      <c r="Q37" s="48"/>
      <c r="R37" s="48"/>
      <c r="S37" s="48"/>
      <c r="T37" s="48"/>
      <c r="U37" s="48"/>
      <c r="V37" s="48"/>
      <c r="W37" s="48">
        <v>504543</v>
      </c>
      <c r="X37" s="48"/>
      <c r="Y37" s="48"/>
      <c r="Z37" s="48"/>
      <c r="AA37" s="48">
        <v>302527</v>
      </c>
      <c r="AB37" s="48"/>
    </row>
    <row r="38" spans="3:28" ht="12.75" customHeight="1">
      <c r="C38" s="48">
        <v>585368</v>
      </c>
      <c r="D38" s="37"/>
      <c r="E38" s="48">
        <v>505056</v>
      </c>
      <c r="F38" s="48">
        <v>585435</v>
      </c>
      <c r="G38" s="48"/>
      <c r="H38" s="48">
        <v>634434</v>
      </c>
      <c r="I38" s="48"/>
      <c r="J38" s="48"/>
      <c r="K38" s="48"/>
      <c r="L38" s="48"/>
      <c r="M38" s="48"/>
      <c r="N38" s="48"/>
      <c r="O38" s="48">
        <v>812856</v>
      </c>
      <c r="P38" s="48">
        <v>812856</v>
      </c>
      <c r="Q38" s="48"/>
      <c r="R38" s="48"/>
      <c r="S38" s="48"/>
      <c r="T38" s="48"/>
      <c r="U38" s="48"/>
      <c r="V38" s="48"/>
      <c r="W38" s="48">
        <v>504600</v>
      </c>
      <c r="X38" s="48"/>
      <c r="Y38" s="48"/>
      <c r="Z38" s="48"/>
      <c r="AA38" s="48">
        <v>302530</v>
      </c>
      <c r="AB38" s="48"/>
    </row>
    <row r="39" spans="3:28" ht="12.75" customHeight="1">
      <c r="C39" s="48">
        <v>585370</v>
      </c>
      <c r="D39" s="37"/>
      <c r="E39" s="48">
        <v>505057</v>
      </c>
      <c r="F39" s="48">
        <v>585713</v>
      </c>
      <c r="G39" s="48"/>
      <c r="H39" s="48">
        <v>634436</v>
      </c>
      <c r="I39" s="48"/>
      <c r="J39" s="48"/>
      <c r="K39" s="48"/>
      <c r="L39" s="48"/>
      <c r="M39" s="48"/>
      <c r="N39" s="48"/>
      <c r="O39" s="48">
        <v>812866</v>
      </c>
      <c r="P39" s="48">
        <v>812866</v>
      </c>
      <c r="Q39" s="48"/>
      <c r="R39" s="48"/>
      <c r="S39" s="48"/>
      <c r="T39" s="48"/>
      <c r="U39" s="48"/>
      <c r="V39" s="48"/>
      <c r="W39" s="48">
        <v>530112</v>
      </c>
      <c r="X39" s="48"/>
      <c r="Y39" s="48"/>
      <c r="Z39" s="48"/>
      <c r="AA39" s="48">
        <v>340014</v>
      </c>
      <c r="AB39" s="48"/>
    </row>
    <row r="40" spans="3:28" ht="12.75" customHeight="1">
      <c r="C40" s="48">
        <v>585371</v>
      </c>
      <c r="D40" s="37"/>
      <c r="E40" s="48">
        <v>505058</v>
      </c>
      <c r="F40" s="48">
        <v>585812</v>
      </c>
      <c r="G40" s="48"/>
      <c r="H40" s="48">
        <v>634441</v>
      </c>
      <c r="I40" s="48"/>
      <c r="J40" s="48"/>
      <c r="K40" s="48"/>
      <c r="L40" s="48"/>
      <c r="M40" s="48"/>
      <c r="N40" s="48"/>
      <c r="O40" s="48">
        <v>812870</v>
      </c>
      <c r="P40" s="48">
        <v>812870</v>
      </c>
      <c r="Q40" s="48"/>
      <c r="R40" s="48"/>
      <c r="S40" s="48"/>
      <c r="T40" s="48"/>
      <c r="U40" s="48"/>
      <c r="V40" s="48"/>
      <c r="W40" s="48">
        <v>561115</v>
      </c>
      <c r="X40" s="48"/>
      <c r="Y40" s="48"/>
      <c r="Z40" s="48"/>
      <c r="AA40" s="48">
        <v>340015</v>
      </c>
      <c r="AB40" s="48"/>
    </row>
    <row r="41" spans="3:28" ht="12.75" customHeight="1">
      <c r="C41" s="48">
        <v>585372</v>
      </c>
      <c r="D41" s="37"/>
      <c r="E41" s="48">
        <v>505059</v>
      </c>
      <c r="F41" s="48">
        <v>585816</v>
      </c>
      <c r="G41" s="48"/>
      <c r="H41" s="48">
        <v>704369</v>
      </c>
      <c r="I41" s="48"/>
      <c r="J41" s="48"/>
      <c r="K41" s="48"/>
      <c r="L41" s="48"/>
      <c r="M41" s="48"/>
      <c r="N41" s="48"/>
      <c r="O41" s="48">
        <v>812857</v>
      </c>
      <c r="P41" s="48">
        <v>812857</v>
      </c>
      <c r="Q41" s="48"/>
      <c r="R41" s="48"/>
      <c r="S41" s="48"/>
      <c r="T41" s="48"/>
      <c r="U41" s="48"/>
      <c r="V41" s="48"/>
      <c r="W41" s="48">
        <v>562004</v>
      </c>
      <c r="X41" s="48"/>
      <c r="Y41" s="48"/>
      <c r="Z41" s="48"/>
      <c r="AA41" s="48">
        <v>328116</v>
      </c>
      <c r="AB41" s="48"/>
    </row>
    <row r="42" spans="3:28" ht="12.75" customHeight="1">
      <c r="C42" s="48">
        <v>585373</v>
      </c>
      <c r="D42" s="37"/>
      <c r="E42" s="48">
        <v>505060</v>
      </c>
      <c r="F42" s="48">
        <v>585824</v>
      </c>
      <c r="G42" s="48"/>
      <c r="H42" s="48">
        <v>708220</v>
      </c>
      <c r="I42" s="48"/>
      <c r="J42" s="48"/>
      <c r="K42" s="48"/>
      <c r="L42" s="48"/>
      <c r="M42" s="48"/>
      <c r="N42" s="48"/>
      <c r="O42" s="48">
        <v>812858</v>
      </c>
      <c r="P42" s="48">
        <v>812858</v>
      </c>
      <c r="Q42" s="48"/>
      <c r="R42" s="48"/>
      <c r="S42" s="48"/>
      <c r="T42" s="48"/>
      <c r="U42" s="48"/>
      <c r="V42" s="48"/>
      <c r="W42" s="48">
        <v>571015</v>
      </c>
      <c r="X42" s="48"/>
      <c r="Y42" s="48"/>
      <c r="Z42" s="48"/>
      <c r="AA42" s="48">
        <v>328115</v>
      </c>
      <c r="AB42" s="48"/>
    </row>
    <row r="43" spans="3:28" ht="12.75" customHeight="1">
      <c r="C43" s="48">
        <v>585374</v>
      </c>
      <c r="D43" s="37"/>
      <c r="E43" s="48">
        <v>505061</v>
      </c>
      <c r="F43" s="48">
        <v>585714</v>
      </c>
      <c r="G43" s="48"/>
      <c r="H43" s="48">
        <v>709110</v>
      </c>
      <c r="I43" s="48"/>
      <c r="J43" s="48"/>
      <c r="K43" s="48"/>
      <c r="L43" s="48"/>
      <c r="M43" s="48"/>
      <c r="N43" s="48"/>
      <c r="O43" s="48">
        <v>812859</v>
      </c>
      <c r="P43" s="48">
        <v>812859</v>
      </c>
      <c r="Q43" s="48"/>
      <c r="R43" s="48"/>
      <c r="S43" s="48"/>
      <c r="T43" s="48"/>
      <c r="U43" s="48"/>
      <c r="V43" s="48"/>
      <c r="W43" s="48">
        <v>571020</v>
      </c>
      <c r="X43" s="48"/>
      <c r="Y43" s="48"/>
      <c r="Z43" s="48"/>
      <c r="AA43" s="48">
        <v>301318</v>
      </c>
      <c r="AB43" s="48"/>
    </row>
    <row r="44" spans="3:28" ht="12.75" customHeight="1">
      <c r="C44" s="48">
        <v>585610</v>
      </c>
      <c r="D44" s="37"/>
      <c r="E44" s="48">
        <v>505062</v>
      </c>
      <c r="F44" s="48">
        <v>585715</v>
      </c>
      <c r="G44" s="48"/>
      <c r="H44" s="48">
        <v>810547</v>
      </c>
      <c r="I44" s="48"/>
      <c r="J44" s="48"/>
      <c r="K44" s="48"/>
      <c r="L44" s="48"/>
      <c r="M44" s="48"/>
      <c r="N44" s="48"/>
      <c r="O44" s="48">
        <v>812867</v>
      </c>
      <c r="P44" s="48">
        <v>812867</v>
      </c>
      <c r="Q44" s="48"/>
      <c r="R44" s="48"/>
      <c r="S44" s="48"/>
      <c r="T44" s="48"/>
      <c r="U44" s="48"/>
      <c r="V44" s="48"/>
      <c r="W44" s="48">
        <v>812856</v>
      </c>
      <c r="X44" s="48"/>
      <c r="Y44" s="48"/>
      <c r="Z44" s="48"/>
      <c r="AA44" s="48">
        <v>324149</v>
      </c>
      <c r="AB44" s="48"/>
    </row>
    <row r="45" spans="3:28" ht="12.75" customHeight="1">
      <c r="C45" s="48">
        <v>585611</v>
      </c>
      <c r="D45" s="37"/>
      <c r="E45" s="48">
        <v>505063</v>
      </c>
      <c r="F45" s="48">
        <v>585716</v>
      </c>
      <c r="G45" s="48"/>
      <c r="H45" s="48">
        <v>810548</v>
      </c>
      <c r="I45" s="48"/>
      <c r="J45" s="48"/>
      <c r="K45" s="48"/>
      <c r="L45" s="48"/>
      <c r="M45" s="48"/>
      <c r="N45" s="48"/>
      <c r="O45" s="48">
        <v>585405</v>
      </c>
      <c r="P45" s="48">
        <v>585405</v>
      </c>
      <c r="Q45" s="48"/>
      <c r="R45" s="48"/>
      <c r="S45" s="48"/>
      <c r="T45" s="48"/>
      <c r="U45" s="48"/>
      <c r="V45" s="48"/>
      <c r="W45" s="48">
        <v>812866</v>
      </c>
      <c r="X45" s="48"/>
      <c r="Y45" s="48"/>
      <c r="Z45" s="48"/>
      <c r="AA45" s="48">
        <v>324150</v>
      </c>
      <c r="AB45" s="48"/>
    </row>
    <row r="46" spans="3:28" ht="12.75" customHeight="1">
      <c r="C46" s="48">
        <v>585624</v>
      </c>
      <c r="D46" s="37"/>
      <c r="E46" s="48">
        <v>505064</v>
      </c>
      <c r="F46" s="48">
        <v>585717</v>
      </c>
      <c r="G46" s="48"/>
      <c r="H46" s="48">
        <v>810549</v>
      </c>
      <c r="I46" s="48"/>
      <c r="J46" s="48"/>
      <c r="K46" s="48"/>
      <c r="L46" s="48"/>
      <c r="M46" s="48"/>
      <c r="N46" s="48"/>
      <c r="O46" s="48">
        <v>585407</v>
      </c>
      <c r="P46" s="48">
        <v>585407</v>
      </c>
      <c r="Q46" s="48"/>
      <c r="R46" s="48"/>
      <c r="S46" s="48"/>
      <c r="T46" s="48"/>
      <c r="U46" s="48"/>
      <c r="V46" s="48"/>
      <c r="W46" s="48">
        <v>812870</v>
      </c>
      <c r="X46" s="48"/>
      <c r="Y46" s="48"/>
      <c r="Z46" s="48"/>
      <c r="AA46" s="48">
        <v>320415</v>
      </c>
      <c r="AB46" s="48"/>
    </row>
    <row r="47" spans="3:28" ht="12.75" customHeight="1">
      <c r="C47" s="48">
        <v>585628</v>
      </c>
      <c r="D47" s="37"/>
      <c r="E47" s="48">
        <v>505065</v>
      </c>
      <c r="F47" s="48">
        <v>585718</v>
      </c>
      <c r="G47" s="48"/>
      <c r="H47" s="48">
        <v>812107</v>
      </c>
      <c r="I47" s="48"/>
      <c r="J47" s="48"/>
      <c r="K47" s="48"/>
      <c r="L47" s="48"/>
      <c r="M47" s="48"/>
      <c r="N47" s="48"/>
      <c r="O47" s="48">
        <v>585424</v>
      </c>
      <c r="P47" s="48">
        <v>585412</v>
      </c>
      <c r="Q47" s="48"/>
      <c r="R47" s="48"/>
      <c r="S47" s="48"/>
      <c r="T47" s="48"/>
      <c r="U47" s="48"/>
      <c r="V47" s="48"/>
      <c r="W47" s="48">
        <v>812857</v>
      </c>
      <c r="X47" s="48"/>
      <c r="Y47" s="48"/>
      <c r="Z47" s="48"/>
      <c r="AA47" s="48">
        <v>320418</v>
      </c>
      <c r="AB47" s="48"/>
    </row>
    <row r="48" spans="3:28" ht="12.75" customHeight="1">
      <c r="C48" s="48">
        <v>648690</v>
      </c>
      <c r="D48" s="37"/>
      <c r="E48" s="48">
        <v>505066</v>
      </c>
      <c r="F48" s="48">
        <v>585439</v>
      </c>
      <c r="G48" s="48"/>
      <c r="H48" s="48">
        <v>812861</v>
      </c>
      <c r="I48" s="48"/>
      <c r="J48" s="48"/>
      <c r="K48" s="48"/>
      <c r="L48" s="48"/>
      <c r="M48" s="48"/>
      <c r="N48" s="48"/>
      <c r="O48" s="48">
        <v>585627</v>
      </c>
      <c r="P48" s="48">
        <v>585424</v>
      </c>
      <c r="Q48" s="48"/>
      <c r="R48" s="48"/>
      <c r="S48" s="48"/>
      <c r="T48" s="48"/>
      <c r="U48" s="48"/>
      <c r="V48" s="48"/>
      <c r="W48" s="48">
        <v>812858</v>
      </c>
      <c r="X48" s="48"/>
      <c r="Y48" s="48"/>
      <c r="Z48" s="48"/>
      <c r="AA48" s="48">
        <v>320421</v>
      </c>
      <c r="AB48" s="48"/>
    </row>
    <row r="49" spans="3:28" ht="12.75" customHeight="1">
      <c r="C49" s="48">
        <v>655126</v>
      </c>
      <c r="D49" s="37"/>
      <c r="E49" s="48">
        <v>505067</v>
      </c>
      <c r="F49" s="48">
        <v>585639</v>
      </c>
      <c r="G49" s="48"/>
      <c r="H49" s="48">
        <v>812865</v>
      </c>
      <c r="I49" s="48"/>
      <c r="J49" s="48"/>
      <c r="K49" s="48"/>
      <c r="L49" s="48"/>
      <c r="M49" s="48"/>
      <c r="N49" s="48"/>
      <c r="O49" s="48">
        <v>585350</v>
      </c>
      <c r="P49" s="48">
        <v>585627</v>
      </c>
      <c r="Q49" s="48"/>
      <c r="R49" s="48"/>
      <c r="S49" s="48"/>
      <c r="T49" s="48"/>
      <c r="U49" s="48"/>
      <c r="V49" s="48"/>
      <c r="W49" s="48">
        <v>812859</v>
      </c>
      <c r="X49" s="48"/>
      <c r="Y49" s="48"/>
      <c r="Z49" s="48"/>
      <c r="AA49" s="48">
        <v>320424</v>
      </c>
      <c r="AB49" s="48"/>
    </row>
    <row r="50" spans="3:28" ht="12.75" customHeight="1">
      <c r="C50" s="48">
        <v>655127</v>
      </c>
      <c r="D50" s="37"/>
      <c r="E50" s="48">
        <v>505068</v>
      </c>
      <c r="F50" s="48">
        <v>585340</v>
      </c>
      <c r="G50" s="48"/>
      <c r="H50" s="48">
        <v>833037</v>
      </c>
      <c r="I50" s="48"/>
      <c r="J50" s="48"/>
      <c r="K50" s="48"/>
      <c r="L50" s="48"/>
      <c r="M50" s="48"/>
      <c r="N50" s="48"/>
      <c r="O50" s="48">
        <v>865002</v>
      </c>
      <c r="P50" s="48">
        <v>865002</v>
      </c>
      <c r="Q50" s="48"/>
      <c r="R50" s="48"/>
      <c r="S50" s="48"/>
      <c r="T50" s="48"/>
      <c r="U50" s="48"/>
      <c r="V50" s="48"/>
      <c r="W50" s="48">
        <v>812867</v>
      </c>
      <c r="X50" s="48"/>
      <c r="Y50" s="48"/>
      <c r="Z50" s="48"/>
      <c r="AA50" s="48">
        <v>320427</v>
      </c>
      <c r="AB50" s="48"/>
    </row>
    <row r="51" spans="3:28" ht="12.75" customHeight="1">
      <c r="C51" s="48">
        <v>655128</v>
      </c>
      <c r="D51" s="37"/>
      <c r="E51" s="48">
        <v>505069</v>
      </c>
      <c r="F51" s="48">
        <v>585342</v>
      </c>
      <c r="G51" s="48"/>
      <c r="H51" s="48">
        <v>862102</v>
      </c>
      <c r="I51" s="48"/>
      <c r="J51" s="48"/>
      <c r="K51" s="48"/>
      <c r="L51" s="48"/>
      <c r="M51" s="48"/>
      <c r="N51" s="48"/>
      <c r="O51" s="48">
        <v>504633</v>
      </c>
      <c r="P51" s="48">
        <v>634198</v>
      </c>
      <c r="Q51" s="48"/>
      <c r="R51" s="48"/>
      <c r="S51" s="48"/>
      <c r="T51" s="48"/>
      <c r="U51" s="48"/>
      <c r="V51" s="48"/>
      <c r="W51" s="48">
        <v>585405</v>
      </c>
      <c r="X51" s="48"/>
      <c r="Y51" s="48"/>
      <c r="Z51" s="48"/>
      <c r="AA51" s="48">
        <v>320430</v>
      </c>
      <c r="AB51" s="48"/>
    </row>
    <row r="52" spans="3:28" ht="12.75" customHeight="1">
      <c r="C52" s="48">
        <v>655129</v>
      </c>
      <c r="D52" s="37"/>
      <c r="E52" s="48">
        <v>505070</v>
      </c>
      <c r="F52" s="48">
        <v>585671</v>
      </c>
      <c r="G52" s="48"/>
      <c r="H52" s="48">
        <v>17</v>
      </c>
      <c r="I52" s="48"/>
      <c r="J52" s="48"/>
      <c r="K52" s="48"/>
      <c r="L52" s="48"/>
      <c r="M52" s="48"/>
      <c r="N52" s="48"/>
      <c r="O52" s="37">
        <v>634198</v>
      </c>
      <c r="P52" s="37">
        <v>634199</v>
      </c>
      <c r="Q52" s="48"/>
      <c r="R52" s="48"/>
      <c r="S52" s="48"/>
      <c r="T52" s="48"/>
      <c r="U52" s="48"/>
      <c r="V52" s="48"/>
      <c r="W52" s="37">
        <v>585407</v>
      </c>
      <c r="X52" s="48"/>
      <c r="Y52" s="48"/>
      <c r="Z52" s="48"/>
      <c r="AA52" s="37">
        <v>371011</v>
      </c>
      <c r="AB52" s="48"/>
    </row>
    <row r="53" spans="3:28" ht="12.75" customHeight="1">
      <c r="C53" s="48">
        <v>655130</v>
      </c>
      <c r="D53" s="37"/>
      <c r="E53" s="48">
        <v>505071</v>
      </c>
      <c r="F53" s="48">
        <v>585712</v>
      </c>
      <c r="G53" s="48"/>
      <c r="H53" s="48" t="s">
        <v>220</v>
      </c>
      <c r="I53" s="48"/>
      <c r="J53" s="48"/>
      <c r="K53" s="48"/>
      <c r="L53" s="48"/>
      <c r="M53" s="48"/>
      <c r="N53" s="48"/>
      <c r="O53" s="37">
        <v>634199</v>
      </c>
      <c r="P53" s="37">
        <v>655105</v>
      </c>
      <c r="Q53" s="48"/>
      <c r="R53" s="48"/>
      <c r="S53" s="48"/>
      <c r="T53" s="48"/>
      <c r="U53" s="48"/>
      <c r="V53" s="48"/>
      <c r="W53" s="37">
        <v>585412</v>
      </c>
      <c r="X53" s="48"/>
      <c r="Y53" s="48"/>
      <c r="Z53" s="48"/>
      <c r="AA53" s="37">
        <v>371013</v>
      </c>
      <c r="AB53" s="48"/>
    </row>
    <row r="54" spans="3:28" ht="12.75" customHeight="1">
      <c r="C54" s="48">
        <v>655131</v>
      </c>
      <c r="D54" s="37"/>
      <c r="E54" s="48">
        <v>505072</v>
      </c>
      <c r="F54" s="48">
        <v>504621</v>
      </c>
      <c r="G54" s="48"/>
      <c r="H54" s="48" t="s">
        <v>221</v>
      </c>
      <c r="I54" s="48"/>
      <c r="J54" s="48"/>
      <c r="K54" s="48"/>
      <c r="L54" s="48"/>
      <c r="M54" s="48"/>
      <c r="N54" s="48"/>
      <c r="O54" s="37">
        <v>655105</v>
      </c>
      <c r="P54" s="37">
        <v>655125</v>
      </c>
      <c r="Q54" s="48"/>
      <c r="R54" s="48"/>
      <c r="S54" s="48"/>
      <c r="T54" s="48"/>
      <c r="U54" s="48"/>
      <c r="V54" s="48"/>
      <c r="W54" s="37">
        <v>585424</v>
      </c>
      <c r="X54" s="48"/>
      <c r="Y54" s="48"/>
      <c r="Z54" s="48"/>
      <c r="AA54" s="37">
        <v>324151</v>
      </c>
      <c r="AB54" s="48"/>
    </row>
    <row r="55" spans="3:28" ht="12.75" customHeight="1">
      <c r="C55" s="48">
        <v>655132</v>
      </c>
      <c r="D55" s="37"/>
      <c r="E55" s="48">
        <v>505073</v>
      </c>
      <c r="F55" s="48">
        <v>585673</v>
      </c>
      <c r="G55" s="48"/>
      <c r="H55" s="48" t="s">
        <v>222</v>
      </c>
      <c r="I55" s="48"/>
      <c r="J55" s="48"/>
      <c r="K55" s="48"/>
      <c r="L55" s="48"/>
      <c r="M55" s="48"/>
      <c r="N55" s="48"/>
      <c r="O55" s="48">
        <v>655125</v>
      </c>
      <c r="P55" s="48">
        <v>704325</v>
      </c>
      <c r="Q55" s="48"/>
      <c r="R55" s="48"/>
      <c r="S55" s="48"/>
      <c r="T55" s="48"/>
      <c r="U55" s="48"/>
      <c r="V55" s="48"/>
      <c r="W55" s="48">
        <v>585627</v>
      </c>
      <c r="X55" s="48"/>
      <c r="Y55" s="48"/>
      <c r="Z55" s="48"/>
      <c r="AA55" s="48">
        <v>324152</v>
      </c>
      <c r="AB55" s="48"/>
    </row>
    <row r="56" spans="3:28" ht="12.75" customHeight="1">
      <c r="C56" s="48">
        <v>655133</v>
      </c>
      <c r="D56" s="37"/>
      <c r="E56" s="48">
        <v>505074</v>
      </c>
      <c r="F56" s="48">
        <v>634417</v>
      </c>
      <c r="G56" s="48"/>
      <c r="H56" s="48" t="s">
        <v>223</v>
      </c>
      <c r="I56" s="48"/>
      <c r="J56" s="48"/>
      <c r="K56" s="48"/>
      <c r="L56" s="48"/>
      <c r="M56" s="48"/>
      <c r="N56" s="48"/>
      <c r="O56" s="48">
        <v>704325</v>
      </c>
      <c r="P56" s="48">
        <v>801104</v>
      </c>
      <c r="Q56" s="48"/>
      <c r="R56" s="48"/>
      <c r="S56" s="48"/>
      <c r="T56" s="48"/>
      <c r="U56" s="48"/>
      <c r="V56" s="48"/>
      <c r="W56" s="48">
        <v>585601</v>
      </c>
      <c r="X56" s="48"/>
      <c r="Y56" s="48"/>
      <c r="Z56" s="48"/>
      <c r="AA56" s="48">
        <v>390687</v>
      </c>
      <c r="AB56" s="48"/>
    </row>
    <row r="57" spans="3:28" ht="12.75" customHeight="1">
      <c r="C57" s="48">
        <v>655134</v>
      </c>
      <c r="D57" s="37"/>
      <c r="E57" s="48">
        <v>505075</v>
      </c>
      <c r="F57" s="48">
        <v>655116</v>
      </c>
      <c r="G57" s="48"/>
      <c r="H57" s="48" t="s">
        <v>224</v>
      </c>
      <c r="I57" s="48"/>
      <c r="J57" s="48"/>
      <c r="K57" s="48"/>
      <c r="L57" s="48"/>
      <c r="M57" s="48"/>
      <c r="N57" s="48"/>
      <c r="O57" s="48">
        <v>801605</v>
      </c>
      <c r="P57" s="48">
        <v>17</v>
      </c>
      <c r="Q57" s="48"/>
      <c r="R57" s="48"/>
      <c r="S57" s="48"/>
      <c r="T57" s="48"/>
      <c r="U57" s="48"/>
      <c r="V57" s="48"/>
      <c r="W57" s="37">
        <v>585603</v>
      </c>
      <c r="X57" s="48"/>
      <c r="Y57" s="48"/>
      <c r="Z57" s="48"/>
      <c r="AA57" s="37">
        <v>380205</v>
      </c>
      <c r="AB57" s="48"/>
    </row>
    <row r="58" spans="3:28" ht="12.75" customHeight="1">
      <c r="C58" s="48">
        <v>655135</v>
      </c>
      <c r="D58" s="37"/>
      <c r="E58" s="48">
        <v>505076</v>
      </c>
      <c r="F58" s="48">
        <v>655107</v>
      </c>
      <c r="G58" s="48"/>
      <c r="H58" s="37" t="s">
        <v>190</v>
      </c>
      <c r="I58" s="37"/>
      <c r="J58" s="37"/>
      <c r="K58" s="37"/>
      <c r="L58" s="37"/>
      <c r="M58" s="37"/>
      <c r="N58" s="37"/>
      <c r="O58" s="48">
        <v>801130</v>
      </c>
      <c r="P58" s="48" t="s">
        <v>220</v>
      </c>
      <c r="Q58" s="37"/>
      <c r="R58" s="37"/>
      <c r="S58" s="37"/>
      <c r="T58" s="37"/>
      <c r="U58" s="37"/>
      <c r="V58" s="37"/>
      <c r="W58" s="37">
        <v>585607</v>
      </c>
      <c r="X58" s="37"/>
      <c r="Y58" s="37"/>
      <c r="Z58" s="37"/>
      <c r="AA58" s="37">
        <v>380201</v>
      </c>
      <c r="AB58" s="37"/>
    </row>
    <row r="59" spans="3:28" ht="12.75" customHeight="1">
      <c r="C59" s="48">
        <v>17</v>
      </c>
      <c r="D59" s="37"/>
      <c r="E59" s="48">
        <v>505077</v>
      </c>
      <c r="F59" s="48">
        <v>504496</v>
      </c>
      <c r="G59" s="48"/>
      <c r="H59" s="37" t="s">
        <v>218</v>
      </c>
      <c r="I59" s="37"/>
      <c r="J59" s="37"/>
      <c r="K59" s="37"/>
      <c r="L59" s="37"/>
      <c r="M59" s="37"/>
      <c r="N59" s="37"/>
      <c r="O59" s="48">
        <v>801135</v>
      </c>
      <c r="P59" s="48" t="s">
        <v>221</v>
      </c>
      <c r="Q59" s="37"/>
      <c r="R59" s="37"/>
      <c r="S59" s="37"/>
      <c r="T59" s="37"/>
      <c r="U59" s="37"/>
      <c r="V59" s="37"/>
      <c r="W59" s="37">
        <v>585636</v>
      </c>
      <c r="X59" s="37"/>
      <c r="Y59" s="37"/>
      <c r="Z59" s="37"/>
      <c r="AA59" s="37">
        <v>380218</v>
      </c>
      <c r="AB59" s="37"/>
    </row>
    <row r="60" spans="3:28" ht="12.75" customHeight="1">
      <c r="C60" s="48" t="s">
        <v>220</v>
      </c>
      <c r="D60" s="37"/>
      <c r="E60" s="48">
        <v>524525</v>
      </c>
      <c r="F60" s="48">
        <v>504497</v>
      </c>
      <c r="G60" s="48"/>
      <c r="H60" s="37" t="s">
        <v>219</v>
      </c>
      <c r="I60" s="37"/>
      <c r="J60" s="37"/>
      <c r="K60" s="37"/>
      <c r="L60" s="37"/>
      <c r="M60" s="37"/>
      <c r="N60" s="37"/>
      <c r="O60" s="48">
        <v>801104</v>
      </c>
      <c r="P60" s="48" t="s">
        <v>222</v>
      </c>
      <c r="Q60" s="37"/>
      <c r="R60" s="37"/>
      <c r="S60" s="37"/>
      <c r="T60" s="37"/>
      <c r="U60" s="37"/>
      <c r="V60" s="37"/>
      <c r="W60" s="48">
        <v>585637</v>
      </c>
      <c r="X60" s="37"/>
      <c r="Y60" s="37"/>
      <c r="Z60" s="37"/>
      <c r="AA60" s="48">
        <v>301322</v>
      </c>
      <c r="AB60" s="37"/>
    </row>
    <row r="61" spans="3:28" ht="12.75" customHeight="1">
      <c r="C61" s="48" t="s">
        <v>221</v>
      </c>
      <c r="D61" s="37"/>
      <c r="E61" s="48">
        <v>524529</v>
      </c>
      <c r="F61" s="48">
        <v>662182</v>
      </c>
      <c r="G61" s="48"/>
      <c r="H61" s="48"/>
      <c r="I61" s="48"/>
      <c r="J61" s="48"/>
      <c r="K61" s="48"/>
      <c r="L61" s="48"/>
      <c r="M61" s="48"/>
      <c r="N61" s="48"/>
      <c r="O61" s="48">
        <v>17</v>
      </c>
      <c r="P61" s="48" t="s">
        <v>223</v>
      </c>
      <c r="Q61" s="48"/>
      <c r="R61" s="48"/>
      <c r="S61" s="48"/>
      <c r="T61" s="48"/>
      <c r="U61" s="48"/>
      <c r="V61" s="48"/>
      <c r="W61" s="37">
        <v>865002</v>
      </c>
      <c r="X61" s="48"/>
      <c r="Y61" s="48"/>
      <c r="Z61" s="48"/>
      <c r="AA61" s="37">
        <v>340011</v>
      </c>
      <c r="AB61" s="48"/>
    </row>
    <row r="62" spans="3:28" ht="12.75" customHeight="1">
      <c r="C62" s="48" t="s">
        <v>222</v>
      </c>
      <c r="D62" s="37"/>
      <c r="E62" s="48">
        <v>524530</v>
      </c>
      <c r="F62" s="48">
        <v>704369</v>
      </c>
      <c r="G62" s="48"/>
      <c r="H62" s="48"/>
      <c r="I62" s="48"/>
      <c r="J62" s="48"/>
      <c r="K62" s="48"/>
      <c r="L62" s="48"/>
      <c r="M62" s="48"/>
      <c r="N62" s="48"/>
      <c r="O62" s="48" t="s">
        <v>220</v>
      </c>
      <c r="P62" s="48" t="s">
        <v>224</v>
      </c>
      <c r="Q62" s="48"/>
      <c r="R62" s="48"/>
      <c r="S62" s="48"/>
      <c r="T62" s="48"/>
      <c r="U62" s="48"/>
      <c r="V62" s="48"/>
      <c r="W62" s="37">
        <v>585361</v>
      </c>
      <c r="X62" s="48"/>
      <c r="Y62" s="48"/>
      <c r="Z62" s="48"/>
      <c r="AA62" s="37">
        <v>390525</v>
      </c>
      <c r="AB62" s="48"/>
    </row>
    <row r="63" spans="3:28" ht="12.75" customHeight="1">
      <c r="C63" s="48" t="s">
        <v>223</v>
      </c>
      <c r="D63" s="37"/>
      <c r="E63" s="48">
        <v>561117</v>
      </c>
      <c r="F63" s="48">
        <v>616615</v>
      </c>
      <c r="G63" s="48"/>
      <c r="H63" s="48"/>
      <c r="I63" s="48"/>
      <c r="J63" s="48"/>
      <c r="K63" s="48"/>
      <c r="L63" s="48"/>
      <c r="M63" s="48"/>
      <c r="N63" s="48"/>
      <c r="O63" s="48" t="s">
        <v>221</v>
      </c>
      <c r="P63" s="37" t="s">
        <v>190</v>
      </c>
      <c r="Q63" s="37"/>
      <c r="R63" s="37"/>
      <c r="S63" s="37"/>
      <c r="T63" s="37"/>
      <c r="U63" s="37"/>
      <c r="V63" s="37"/>
      <c r="W63" s="37">
        <v>585362</v>
      </c>
      <c r="X63" s="37"/>
      <c r="Y63" s="37"/>
      <c r="Z63" s="37"/>
      <c r="AA63" s="37">
        <v>388069</v>
      </c>
      <c r="AB63" s="37"/>
    </row>
    <row r="64" spans="3:28" ht="12.75" customHeight="1">
      <c r="C64" s="48" t="s">
        <v>224</v>
      </c>
      <c r="D64" s="37"/>
      <c r="E64" s="48">
        <v>561160</v>
      </c>
      <c r="F64" s="48">
        <v>708220</v>
      </c>
      <c r="G64" s="48"/>
      <c r="H64" s="48"/>
      <c r="I64" s="48"/>
      <c r="J64" s="48"/>
      <c r="K64" s="48"/>
      <c r="L64" s="48"/>
      <c r="M64" s="48"/>
      <c r="N64" s="48"/>
      <c r="O64" s="48" t="s">
        <v>222</v>
      </c>
      <c r="P64" s="37" t="s">
        <v>218</v>
      </c>
      <c r="Q64" s="37"/>
      <c r="R64" s="37"/>
      <c r="S64" s="37"/>
      <c r="T64" s="37"/>
      <c r="U64" s="37"/>
      <c r="V64" s="37"/>
      <c r="W64" s="48">
        <v>585350</v>
      </c>
      <c r="X64" s="37"/>
      <c r="Y64" s="37"/>
      <c r="Z64" s="37"/>
      <c r="AA64" s="48">
        <v>301351</v>
      </c>
      <c r="AB64" s="37"/>
    </row>
    <row r="65" spans="3:28" ht="12.75" customHeight="1">
      <c r="C65" s="48" t="s">
        <v>190</v>
      </c>
      <c r="D65" s="37"/>
      <c r="E65" s="48">
        <v>571056</v>
      </c>
      <c r="F65" s="48">
        <v>709100</v>
      </c>
      <c r="G65" s="48"/>
      <c r="H65" s="48"/>
      <c r="I65" s="48"/>
      <c r="J65" s="48"/>
      <c r="K65" s="48"/>
      <c r="L65" s="48"/>
      <c r="M65" s="48"/>
      <c r="N65" s="48"/>
      <c r="O65" s="48" t="s">
        <v>223</v>
      </c>
      <c r="P65" s="37" t="s">
        <v>219</v>
      </c>
      <c r="Q65" s="37"/>
      <c r="R65" s="37"/>
      <c r="S65" s="37"/>
      <c r="T65" s="37"/>
      <c r="U65" s="37"/>
      <c r="V65" s="37"/>
      <c r="W65" s="48">
        <v>634198</v>
      </c>
      <c r="X65" s="37"/>
      <c r="Y65" s="37"/>
      <c r="Z65" s="37"/>
      <c r="AA65" s="48">
        <v>390330</v>
      </c>
      <c r="AB65" s="37"/>
    </row>
    <row r="66" spans="3:28" ht="12.75" customHeight="1">
      <c r="C66" s="48" t="s">
        <v>218</v>
      </c>
      <c r="D66" s="37"/>
      <c r="E66" s="48">
        <v>571077</v>
      </c>
      <c r="F66" s="48">
        <v>709110</v>
      </c>
      <c r="G66" s="48"/>
      <c r="H66" s="48"/>
      <c r="I66" s="48"/>
      <c r="J66" s="48"/>
      <c r="K66" s="48"/>
      <c r="L66" s="48"/>
      <c r="M66" s="48"/>
      <c r="N66" s="48"/>
      <c r="O66" s="48" t="s">
        <v>224</v>
      </c>
      <c r="P66" s="48"/>
      <c r="Q66" s="48"/>
      <c r="R66" s="48"/>
      <c r="S66" s="48"/>
      <c r="T66" s="48"/>
      <c r="U66" s="48"/>
      <c r="V66" s="48"/>
      <c r="W66" s="48">
        <v>634199</v>
      </c>
      <c r="X66" s="48"/>
      <c r="Y66" s="48"/>
      <c r="Z66" s="48"/>
      <c r="AA66" s="48">
        <v>301115</v>
      </c>
      <c r="AB66" s="48"/>
    </row>
    <row r="67" spans="3:28" ht="12.75" customHeight="1">
      <c r="C67" s="48" t="s">
        <v>219</v>
      </c>
      <c r="D67" s="37"/>
      <c r="E67" s="48">
        <v>571078</v>
      </c>
      <c r="F67" s="48">
        <v>833037</v>
      </c>
      <c r="G67" s="48"/>
      <c r="H67" s="48"/>
      <c r="I67" s="48"/>
      <c r="J67" s="48"/>
      <c r="K67" s="48"/>
      <c r="L67" s="48"/>
      <c r="M67" s="48"/>
      <c r="N67" s="48"/>
      <c r="O67" s="37" t="s">
        <v>190</v>
      </c>
      <c r="P67" s="37"/>
      <c r="Q67" s="37"/>
      <c r="R67" s="37"/>
      <c r="S67" s="37"/>
      <c r="T67" s="37"/>
      <c r="U67" s="37"/>
      <c r="V67" s="37"/>
      <c r="W67" s="48">
        <v>655105</v>
      </c>
      <c r="X67" s="37"/>
      <c r="Y67" s="37"/>
      <c r="Z67" s="37"/>
      <c r="AA67" s="48">
        <v>340010</v>
      </c>
      <c r="AB67" s="37"/>
    </row>
    <row r="68" spans="3:28" ht="12.75" customHeight="1">
      <c r="C68" s="48"/>
      <c r="D68" s="37"/>
      <c r="E68" s="48">
        <v>571079</v>
      </c>
      <c r="F68" s="48">
        <v>810549</v>
      </c>
      <c r="G68" s="48"/>
      <c r="H68" s="48"/>
      <c r="I68" s="48"/>
      <c r="J68" s="48"/>
      <c r="K68" s="48"/>
      <c r="L68" s="48"/>
      <c r="M68" s="48"/>
      <c r="N68" s="48"/>
      <c r="O68" s="37" t="s">
        <v>218</v>
      </c>
      <c r="P68" s="37"/>
      <c r="Q68" s="37"/>
      <c r="R68" s="37"/>
      <c r="S68" s="37"/>
      <c r="T68" s="37"/>
      <c r="U68" s="37"/>
      <c r="V68" s="37"/>
      <c r="W68" s="48">
        <v>655125</v>
      </c>
      <c r="X68" s="37"/>
      <c r="Y68" s="37"/>
      <c r="Z68" s="37"/>
      <c r="AA68" s="48">
        <v>340007</v>
      </c>
      <c r="AB68" s="37"/>
    </row>
    <row r="69" spans="3:28" ht="12.75" customHeight="1">
      <c r="C69" s="48"/>
      <c r="D69" s="37"/>
      <c r="E69" s="48">
        <v>571080</v>
      </c>
      <c r="F69" s="48">
        <v>812548</v>
      </c>
      <c r="G69" s="48"/>
      <c r="H69" s="48"/>
      <c r="I69" s="48"/>
      <c r="J69" s="48"/>
      <c r="K69" s="48"/>
      <c r="L69" s="48"/>
      <c r="M69" s="48"/>
      <c r="N69" s="48"/>
      <c r="O69" s="37" t="s">
        <v>219</v>
      </c>
      <c r="P69" s="37"/>
      <c r="Q69" s="37"/>
      <c r="R69" s="37"/>
      <c r="S69" s="37"/>
      <c r="T69" s="37"/>
      <c r="U69" s="37"/>
      <c r="V69" s="37"/>
      <c r="W69" s="48">
        <v>655379</v>
      </c>
      <c r="X69" s="37"/>
      <c r="Y69" s="37"/>
      <c r="Z69" s="37"/>
      <c r="AA69" s="48">
        <v>428105</v>
      </c>
      <c r="AB69" s="37"/>
    </row>
    <row r="70" spans="3:28" ht="12.75" customHeight="1">
      <c r="C70" s="48"/>
      <c r="D70" s="37"/>
      <c r="E70" s="48">
        <v>571081</v>
      </c>
      <c r="F70" s="48">
        <v>810547</v>
      </c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>
        <v>615582</v>
      </c>
      <c r="X70" s="48"/>
      <c r="Y70" s="48"/>
      <c r="Z70" s="48"/>
      <c r="AA70" s="48">
        <v>301315</v>
      </c>
      <c r="AB70" s="48"/>
    </row>
    <row r="71" spans="3:28" ht="12.75" customHeight="1">
      <c r="C71" s="48"/>
      <c r="D71" s="37"/>
      <c r="E71" s="48">
        <v>571082</v>
      </c>
      <c r="F71" s="48">
        <v>862102</v>
      </c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>
        <v>704325</v>
      </c>
      <c r="X71" s="48"/>
      <c r="Y71" s="48"/>
      <c r="Z71" s="48"/>
      <c r="AA71" s="48">
        <v>456146</v>
      </c>
      <c r="AB71" s="48"/>
    </row>
    <row r="72" spans="3:28" ht="12.75" customHeight="1">
      <c r="C72" s="48"/>
      <c r="D72" s="37"/>
      <c r="E72" s="48">
        <v>571083</v>
      </c>
      <c r="F72" s="48">
        <v>812864</v>
      </c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>
        <v>801135</v>
      </c>
      <c r="X72" s="48"/>
      <c r="Y72" s="48"/>
      <c r="Z72" s="48"/>
      <c r="AA72" s="48">
        <v>456145</v>
      </c>
      <c r="AB72" s="48"/>
    </row>
    <row r="73" spans="3:28" ht="12.75" customHeight="1">
      <c r="C73" s="48"/>
      <c r="D73" s="37"/>
      <c r="E73" s="37">
        <v>571084</v>
      </c>
      <c r="F73" s="48">
        <v>812865</v>
      </c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>
        <v>801000</v>
      </c>
      <c r="X73" s="48"/>
      <c r="Y73" s="48"/>
      <c r="Z73" s="48"/>
      <c r="AA73" s="48">
        <v>445109</v>
      </c>
      <c r="AB73" s="48"/>
    </row>
    <row r="74" spans="3:28" ht="12.75" customHeight="1">
      <c r="C74" s="48"/>
      <c r="D74" s="37"/>
      <c r="E74" s="37">
        <v>571085</v>
      </c>
      <c r="F74" s="48">
        <v>17</v>
      </c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>
        <v>801104</v>
      </c>
      <c r="X74" s="48"/>
      <c r="Y74" s="48"/>
      <c r="Z74" s="48"/>
      <c r="AA74" s="48">
        <v>445103</v>
      </c>
      <c r="AB74" s="48"/>
    </row>
    <row r="75" spans="3:28" ht="12.75" customHeight="1">
      <c r="C75" s="48"/>
      <c r="D75" s="37"/>
      <c r="E75" s="37">
        <v>571086</v>
      </c>
      <c r="F75" s="48" t="s">
        <v>220</v>
      </c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>
        <v>17</v>
      </c>
      <c r="X75" s="48"/>
      <c r="Y75" s="48"/>
      <c r="Z75" s="48"/>
      <c r="AA75" s="48">
        <v>445104</v>
      </c>
      <c r="AB75" s="48"/>
    </row>
    <row r="76" spans="3:28" ht="12.75" customHeight="1">
      <c r="C76" s="48"/>
      <c r="D76" s="37"/>
      <c r="E76" s="37">
        <v>571087</v>
      </c>
      <c r="F76" s="48" t="s">
        <v>221</v>
      </c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 t="s">
        <v>220</v>
      </c>
      <c r="X76" s="48"/>
      <c r="Y76" s="48"/>
      <c r="Z76" s="48"/>
      <c r="AA76" s="48">
        <v>445105</v>
      </c>
      <c r="AB76" s="48"/>
    </row>
    <row r="77" spans="3:28" ht="12.75" customHeight="1">
      <c r="C77" s="48"/>
      <c r="D77" s="37"/>
      <c r="E77" s="37">
        <v>571088</v>
      </c>
      <c r="F77" s="48" t="s">
        <v>222</v>
      </c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 t="s">
        <v>221</v>
      </c>
      <c r="X77" s="48"/>
      <c r="Y77" s="48"/>
      <c r="Z77" s="48"/>
      <c r="AA77" s="37">
        <v>455106</v>
      </c>
      <c r="AB77" s="48"/>
    </row>
    <row r="78" spans="3:28" ht="12.75" customHeight="1">
      <c r="C78" s="48"/>
      <c r="D78" s="37"/>
      <c r="E78" s="37">
        <v>571089</v>
      </c>
      <c r="F78" s="48" t="s">
        <v>223</v>
      </c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 t="s">
        <v>222</v>
      </c>
      <c r="X78" s="48"/>
      <c r="Y78" s="48"/>
      <c r="Z78" s="48"/>
      <c r="AA78" s="37">
        <v>486110</v>
      </c>
      <c r="AB78" s="48"/>
    </row>
    <row r="79" spans="3:28" ht="12.75" customHeight="1">
      <c r="C79" s="48"/>
      <c r="D79" s="37"/>
      <c r="E79" s="37">
        <v>571100</v>
      </c>
      <c r="F79" s="48" t="s">
        <v>224</v>
      </c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 t="s">
        <v>223</v>
      </c>
      <c r="X79" s="48"/>
      <c r="Y79" s="48"/>
      <c r="Z79" s="48"/>
      <c r="AA79" s="37">
        <v>445107</v>
      </c>
      <c r="AB79" s="48"/>
    </row>
    <row r="80" spans="3:28" ht="12.75" customHeight="1">
      <c r="C80" s="48"/>
      <c r="D80" s="37"/>
      <c r="E80" s="37">
        <v>571101</v>
      </c>
      <c r="F80" s="48" t="s">
        <v>190</v>
      </c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 t="s">
        <v>224</v>
      </c>
      <c r="X80" s="48"/>
      <c r="Y80" s="48"/>
      <c r="Z80" s="48"/>
      <c r="AA80" s="37">
        <v>524299</v>
      </c>
      <c r="AB80" s="48"/>
    </row>
    <row r="81" spans="3:28" ht="12.75" customHeight="1">
      <c r="C81" s="48"/>
      <c r="D81" s="37"/>
      <c r="E81" s="37">
        <v>571102</v>
      </c>
      <c r="F81" s="48" t="s">
        <v>218</v>
      </c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37" t="s">
        <v>190</v>
      </c>
      <c r="X81" s="48"/>
      <c r="Y81" s="48"/>
      <c r="Z81" s="48"/>
      <c r="AA81" s="37">
        <v>504500</v>
      </c>
      <c r="AB81" s="48"/>
    </row>
    <row r="82" spans="3:28" ht="12.75" customHeight="1">
      <c r="C82" s="48"/>
      <c r="D82" s="37"/>
      <c r="E82" s="37">
        <v>571103</v>
      </c>
      <c r="F82" s="48" t="s">
        <v>219</v>
      </c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37" t="s">
        <v>218</v>
      </c>
      <c r="X82" s="48"/>
      <c r="Y82" s="48"/>
      <c r="Z82" s="48"/>
      <c r="AA82" s="37">
        <v>504530</v>
      </c>
      <c r="AB82" s="48"/>
    </row>
    <row r="83" spans="3:28" ht="12.75" customHeight="1">
      <c r="C83" s="48"/>
      <c r="D83" s="37"/>
      <c r="E83" s="37">
        <v>571104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 t="s">
        <v>219</v>
      </c>
      <c r="X83" s="37"/>
      <c r="Y83" s="37"/>
      <c r="Z83" s="37"/>
      <c r="AA83" s="37">
        <v>504499</v>
      </c>
      <c r="AB83" s="37"/>
    </row>
    <row r="84" spans="3:28" ht="12.75" customHeight="1">
      <c r="C84" s="48"/>
      <c r="D84" s="37"/>
      <c r="E84" s="37">
        <v>575188</v>
      </c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>
        <v>504518</v>
      </c>
      <c r="AB84" s="37"/>
    </row>
    <row r="85" spans="3:28" ht="12.75" customHeight="1">
      <c r="C85" s="48"/>
      <c r="D85" s="37"/>
      <c r="E85" s="37">
        <v>585635</v>
      </c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>
        <v>504522</v>
      </c>
      <c r="AB85" s="37"/>
    </row>
    <row r="86" spans="3:28" ht="12.75" customHeight="1">
      <c r="C86" s="37"/>
      <c r="D86" s="37"/>
      <c r="E86" s="37">
        <v>585708</v>
      </c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>
        <v>505050</v>
      </c>
      <c r="AB86" s="37"/>
    </row>
    <row r="87" spans="3:28" ht="12.75" customHeight="1">
      <c r="C87" s="37"/>
      <c r="D87" s="37"/>
      <c r="E87" s="37">
        <v>585709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>
        <v>504516</v>
      </c>
      <c r="AB87" s="37"/>
    </row>
    <row r="88" spans="3:28" ht="12.75" customHeight="1">
      <c r="C88" s="37"/>
      <c r="D88" s="37"/>
      <c r="E88" s="37">
        <v>585710</v>
      </c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>
        <v>504546</v>
      </c>
      <c r="AB88" s="37"/>
    </row>
    <row r="89" spans="3:28" ht="12.75" customHeight="1">
      <c r="C89" s="37"/>
      <c r="D89" s="37"/>
      <c r="E89" s="37">
        <v>585711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>
        <v>504558</v>
      </c>
      <c r="AB89" s="37"/>
    </row>
    <row r="90" spans="3:28" ht="12.75" customHeight="1">
      <c r="C90" s="37"/>
      <c r="D90" s="37"/>
      <c r="E90" s="37">
        <v>599206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>
        <v>504589</v>
      </c>
      <c r="AB90" s="37"/>
    </row>
    <row r="91" spans="3:28" ht="12.75" customHeight="1">
      <c r="C91" s="37"/>
      <c r="D91" s="37"/>
      <c r="E91" s="37">
        <v>599207</v>
      </c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>
        <v>504550</v>
      </c>
      <c r="AB91" s="37"/>
    </row>
    <row r="92" spans="3:28" ht="12.75" customHeight="1">
      <c r="C92" s="37"/>
      <c r="D92" s="37"/>
      <c r="E92" s="37">
        <v>599208</v>
      </c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>
        <v>504564</v>
      </c>
      <c r="AB92" s="37"/>
    </row>
    <row r="93" spans="3:28" ht="12.75" customHeight="1">
      <c r="C93" s="37"/>
      <c r="D93" s="37"/>
      <c r="E93" s="37">
        <v>599209</v>
      </c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>
        <v>504582</v>
      </c>
      <c r="AB93" s="37"/>
    </row>
    <row r="94" spans="3:28" ht="12.75" customHeight="1">
      <c r="C94" s="37"/>
      <c r="D94" s="37"/>
      <c r="E94" s="37">
        <v>599210</v>
      </c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>
        <v>530161</v>
      </c>
      <c r="AB94" s="37"/>
    </row>
    <row r="95" spans="3:28" ht="12.75" customHeight="1">
      <c r="C95" s="37"/>
      <c r="D95" s="37"/>
      <c r="E95" s="37">
        <v>599211</v>
      </c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>
        <v>599200</v>
      </c>
      <c r="AB95" s="37"/>
    </row>
    <row r="96" spans="3:28" ht="12.75" customHeight="1">
      <c r="C96" s="37"/>
      <c r="D96" s="37"/>
      <c r="E96" s="37">
        <v>634350</v>
      </c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>
        <v>571152</v>
      </c>
      <c r="AB96" s="37"/>
    </row>
    <row r="97" spans="3:28" ht="12.75" customHeight="1">
      <c r="C97" s="37"/>
      <c r="D97" s="37"/>
      <c r="E97" s="37">
        <v>634351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>
        <v>571206</v>
      </c>
      <c r="AB97" s="37"/>
    </row>
    <row r="98" spans="3:28" ht="12.75" customHeight="1">
      <c r="C98" s="37"/>
      <c r="D98" s="37"/>
      <c r="E98" s="37">
        <v>634352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>
        <v>561131</v>
      </c>
      <c r="AB98" s="37"/>
    </row>
    <row r="99" spans="3:28" ht="12.75" customHeight="1">
      <c r="C99" s="37"/>
      <c r="D99" s="37"/>
      <c r="E99" s="37">
        <v>634353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>
        <v>585405</v>
      </c>
      <c r="AB99" s="37"/>
    </row>
    <row r="100" spans="3:28" ht="12.75" customHeight="1">
      <c r="C100" s="37"/>
      <c r="D100" s="37"/>
      <c r="E100" s="37">
        <v>634354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>
        <v>585433</v>
      </c>
      <c r="AB100" s="37"/>
    </row>
    <row r="101" spans="3:28" ht="12.75" customHeight="1">
      <c r="C101" s="37"/>
      <c r="D101" s="37"/>
      <c r="E101" s="37">
        <v>634355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>
        <v>585439</v>
      </c>
      <c r="AB101" s="37"/>
    </row>
    <row r="102" spans="3:28" ht="12.75" customHeight="1">
      <c r="C102" s="37"/>
      <c r="D102" s="37"/>
      <c r="E102" s="37">
        <v>655003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>
        <v>585639</v>
      </c>
      <c r="AB102" s="37"/>
    </row>
    <row r="103" spans="3:28" ht="12.75" customHeight="1">
      <c r="C103" s="37"/>
      <c r="D103" s="37"/>
      <c r="E103" s="37">
        <v>655004</v>
      </c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>
        <v>504621</v>
      </c>
      <c r="AB103" s="37"/>
    </row>
    <row r="104" spans="3:28" ht="12.75" customHeight="1">
      <c r="C104" s="37"/>
      <c r="D104" s="37"/>
      <c r="E104" s="37">
        <v>655005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>
        <v>504623</v>
      </c>
      <c r="AB104" s="37"/>
    </row>
    <row r="105" spans="3:28" ht="12.75" customHeight="1">
      <c r="C105" s="37"/>
      <c r="D105" s="37"/>
      <c r="E105" s="37">
        <v>655006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>
        <v>504624</v>
      </c>
      <c r="AB105" s="37"/>
    </row>
    <row r="106" spans="3:28" ht="12.75" customHeight="1">
      <c r="C106" s="37"/>
      <c r="D106" s="37"/>
      <c r="E106" s="37">
        <v>655007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>
        <v>504625</v>
      </c>
      <c r="AB106" s="37"/>
    </row>
    <row r="107" spans="3:28" ht="12.75" customHeight="1">
      <c r="C107" s="37"/>
      <c r="D107" s="37"/>
      <c r="E107" s="37">
        <v>655008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>
        <v>585361</v>
      </c>
      <c r="AB107" s="37"/>
    </row>
    <row r="108" spans="3:28" ht="12.75" customHeight="1">
      <c r="C108" s="37"/>
      <c r="D108" s="37"/>
      <c r="E108" s="37">
        <v>655009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>
        <v>615582</v>
      </c>
      <c r="AB108" s="37"/>
    </row>
    <row r="109" spans="3:28" ht="12.75" customHeight="1">
      <c r="C109" s="37"/>
      <c r="D109" s="37"/>
      <c r="E109" s="37">
        <v>655010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>
        <v>634417</v>
      </c>
      <c r="AB109" s="37"/>
    </row>
    <row r="110" spans="3:28" ht="12.75" customHeight="1">
      <c r="C110" s="37"/>
      <c r="D110" s="37"/>
      <c r="E110" s="37">
        <v>655011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>
        <v>634418</v>
      </c>
      <c r="AB110" s="37"/>
    </row>
    <row r="111" spans="3:28" ht="12.75" customHeight="1">
      <c r="C111" s="37"/>
      <c r="D111" s="37"/>
      <c r="E111" s="37">
        <v>655012</v>
      </c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>
        <v>634430</v>
      </c>
      <c r="AB111" s="37"/>
    </row>
    <row r="112" spans="3:28" ht="12.75" customHeight="1">
      <c r="C112" s="37"/>
      <c r="D112" s="37"/>
      <c r="E112" s="37">
        <v>655013</v>
      </c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>
        <v>634431</v>
      </c>
      <c r="AB112" s="37"/>
    </row>
    <row r="113" spans="3:28" ht="12.75" customHeight="1">
      <c r="C113" s="37"/>
      <c r="D113" s="37"/>
      <c r="E113" s="37">
        <v>655014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>
        <v>634441</v>
      </c>
      <c r="AB113" s="37"/>
    </row>
    <row r="114" spans="3:28" ht="12.75" customHeight="1">
      <c r="C114" s="37"/>
      <c r="D114" s="37"/>
      <c r="E114" s="37">
        <v>655394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>
        <v>634442</v>
      </c>
      <c r="AB114" s="37"/>
    </row>
    <row r="115" spans="3:28" ht="12.75" customHeight="1">
      <c r="C115" s="37"/>
      <c r="D115" s="37"/>
      <c r="E115" s="37">
        <v>655395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>
        <v>634434</v>
      </c>
      <c r="AB115" s="37"/>
    </row>
    <row r="116" spans="3:28" ht="12.75" customHeight="1">
      <c r="C116" s="37"/>
      <c r="D116" s="37"/>
      <c r="E116" s="37">
        <v>655396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>
        <v>634435</v>
      </c>
      <c r="AB116" s="37"/>
    </row>
    <row r="117" spans="3:28" ht="12.75" customHeight="1">
      <c r="C117" s="37"/>
      <c r="D117" s="37"/>
      <c r="E117" s="37">
        <v>799095</v>
      </c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>
        <v>561106</v>
      </c>
      <c r="AB117" s="37"/>
    </row>
    <row r="118" spans="3:28" ht="12.75" customHeight="1">
      <c r="C118" s="37"/>
      <c r="D118" s="37"/>
      <c r="E118" s="37">
        <v>975001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>
        <v>655107</v>
      </c>
      <c r="AB118" s="37"/>
    </row>
    <row r="119" spans="3:28" ht="12.75" customHeight="1">
      <c r="C119" s="37"/>
      <c r="D119" s="37"/>
      <c r="E119" s="48">
        <v>17</v>
      </c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>
        <v>655381</v>
      </c>
      <c r="AB119" s="37"/>
    </row>
    <row r="120" spans="3:28" ht="12.75" customHeight="1">
      <c r="C120" s="37"/>
      <c r="D120" s="37"/>
      <c r="E120" s="48" t="s">
        <v>220</v>
      </c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>
        <v>655383</v>
      </c>
      <c r="AB120" s="37"/>
    </row>
    <row r="121" spans="3:28" ht="12.75" customHeight="1">
      <c r="C121" s="37"/>
      <c r="D121" s="37"/>
      <c r="E121" s="48" t="s">
        <v>221</v>
      </c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>
        <v>655283</v>
      </c>
      <c r="AB121" s="37"/>
    </row>
    <row r="122" spans="3:28" ht="12.75" customHeight="1">
      <c r="C122" s="37"/>
      <c r="D122" s="37"/>
      <c r="E122" s="48" t="s">
        <v>222</v>
      </c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>
        <v>662182</v>
      </c>
      <c r="AB122" s="37"/>
    </row>
    <row r="123" spans="3:28" ht="12.75" customHeight="1">
      <c r="C123" s="37"/>
      <c r="D123" s="37"/>
      <c r="E123" s="48" t="s">
        <v>223</v>
      </c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>
        <v>670200</v>
      </c>
      <c r="AB123" s="37"/>
    </row>
    <row r="124" spans="3:28" ht="12.75" customHeight="1">
      <c r="C124" s="37"/>
      <c r="D124" s="37"/>
      <c r="E124" s="48" t="s">
        <v>224</v>
      </c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>
        <v>616250</v>
      </c>
      <c r="AB124" s="37"/>
    </row>
    <row r="125" spans="3:28" ht="12.75" customHeight="1">
      <c r="C125" s="37"/>
      <c r="D125" s="37"/>
      <c r="E125" s="48" t="s">
        <v>190</v>
      </c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>
        <v>616615</v>
      </c>
      <c r="AB125" s="37"/>
    </row>
    <row r="126" spans="3:28" ht="12.75" customHeight="1">
      <c r="C126" s="37"/>
      <c r="D126" s="37"/>
      <c r="E126" s="48" t="s">
        <v>218</v>
      </c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>
        <v>655120</v>
      </c>
      <c r="AB126" s="37"/>
    </row>
    <row r="127" spans="3:28" ht="12.75" customHeight="1">
      <c r="C127" s="37"/>
      <c r="D127" s="37"/>
      <c r="E127" s="48" t="s">
        <v>219</v>
      </c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>
        <v>697009</v>
      </c>
      <c r="AB127" s="37"/>
    </row>
    <row r="128" spans="3:28" ht="12.75" customHeight="1"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>
        <v>657182</v>
      </c>
      <c r="AB128" s="37"/>
    </row>
    <row r="129" spans="3:28" ht="12.75" customHeight="1"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>
        <v>657184</v>
      </c>
      <c r="AB129" s="37"/>
    </row>
    <row r="130" spans="3:28" ht="12.75" customHeight="1"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>
        <v>634436</v>
      </c>
      <c r="AB130" s="37"/>
    </row>
    <row r="131" spans="3:28" ht="12.75" customHeight="1"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>
        <v>704366</v>
      </c>
      <c r="AB131" s="37"/>
    </row>
    <row r="132" spans="3:28" ht="12.75" customHeight="1"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>
        <v>708220</v>
      </c>
      <c r="AB132" s="37"/>
    </row>
    <row r="133" spans="3:28" ht="12.75" customHeight="1"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>
        <v>709100</v>
      </c>
      <c r="AB133" s="37"/>
    </row>
    <row r="134" spans="3:28" ht="12.75" customHeight="1"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>
        <v>709110</v>
      </c>
      <c r="AB134" s="37"/>
    </row>
    <row r="135" spans="3:28" ht="12.75" customHeight="1"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>
        <v>712101</v>
      </c>
      <c r="AB135" s="37"/>
    </row>
    <row r="136" spans="3:28" ht="12.75" customHeight="1"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>
        <v>713041</v>
      </c>
      <c r="AB136" s="37"/>
    </row>
    <row r="137" spans="3:28" ht="12.75" customHeight="1"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>
        <v>713044</v>
      </c>
      <c r="AB137" s="37"/>
    </row>
    <row r="138" spans="3:28" ht="12.75" customHeight="1"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>
        <v>713042</v>
      </c>
      <c r="AB138" s="37"/>
    </row>
    <row r="139" spans="3:28" ht="12.75" customHeight="1"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>
        <v>713043</v>
      </c>
      <c r="AB139" s="37"/>
    </row>
    <row r="140" spans="3:28" ht="12.75" customHeight="1"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>
        <v>715050</v>
      </c>
      <c r="AB140" s="37"/>
    </row>
    <row r="141" spans="3:28" ht="12.75" customHeight="1"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>
        <v>704370</v>
      </c>
      <c r="AB141" s="37"/>
    </row>
    <row r="142" spans="3:28" ht="12.75" customHeight="1"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>
        <v>833037</v>
      </c>
      <c r="AB142" s="37"/>
    </row>
    <row r="143" spans="3:28" ht="12.75" customHeight="1"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>
        <v>810549</v>
      </c>
      <c r="AB143" s="37"/>
    </row>
    <row r="144" spans="3:28" ht="12.75" customHeight="1"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>
        <v>810548</v>
      </c>
      <c r="AB144" s="37"/>
    </row>
    <row r="145" spans="3:28" ht="12.75" customHeight="1"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>
        <v>810547</v>
      </c>
      <c r="AB145" s="37"/>
    </row>
    <row r="146" spans="3:28" ht="12.75" customHeight="1"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>
        <v>862102</v>
      </c>
      <c r="AB146" s="37"/>
    </row>
    <row r="147" spans="3:28" ht="12.75" customHeight="1"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>
        <v>812856</v>
      </c>
      <c r="AB147" s="37"/>
    </row>
    <row r="148" spans="3:28" ht="12.75" customHeight="1"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>
        <v>812860</v>
      </c>
      <c r="AB148" s="37"/>
    </row>
    <row r="149" spans="3:28" ht="12.75" customHeight="1"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>
        <v>812861</v>
      </c>
      <c r="AB149" s="37"/>
    </row>
    <row r="150" spans="3:28" ht="12.75" customHeight="1"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>
        <v>812862</v>
      </c>
      <c r="AB150" s="37"/>
    </row>
    <row r="151" spans="3:28" ht="12.75" customHeight="1"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>
        <v>812863</v>
      </c>
      <c r="AB151" s="37"/>
    </row>
    <row r="152" spans="3:28" ht="12.75" customHeight="1"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>
        <v>812107</v>
      </c>
      <c r="AB152" s="37"/>
    </row>
    <row r="153" spans="3:28" ht="12.75" customHeight="1"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>
        <v>812864</v>
      </c>
      <c r="AB153" s="37"/>
    </row>
    <row r="154" spans="3:28" ht="12.75" customHeight="1"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>
        <v>812865</v>
      </c>
      <c r="AB154" s="37"/>
    </row>
    <row r="155" spans="3:28" ht="12.75" customHeight="1"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>
        <v>812518</v>
      </c>
      <c r="AB155" s="37"/>
    </row>
    <row r="156" spans="3:28" ht="12.75" customHeight="1"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>
        <v>812110</v>
      </c>
      <c r="AB156" s="37"/>
    </row>
    <row r="157" spans="3:28" ht="12.75" customHeight="1"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>
        <v>812868</v>
      </c>
      <c r="AB157" s="37"/>
    </row>
    <row r="158" spans="3:28" ht="12.75" customHeight="1"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48">
        <v>17</v>
      </c>
      <c r="AB158" s="37"/>
    </row>
    <row r="159" spans="3:28" ht="12.75" customHeight="1"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48" t="s">
        <v>220</v>
      </c>
      <c r="AB159" s="37"/>
    </row>
    <row r="160" spans="3:28" ht="12.75" customHeight="1"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48" t="s">
        <v>221</v>
      </c>
      <c r="AB160" s="37"/>
    </row>
    <row r="161" spans="3:28" ht="12.75" customHeight="1"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48" t="s">
        <v>222</v>
      </c>
      <c r="AB161" s="37"/>
    </row>
    <row r="162" spans="3:28" ht="12.75" customHeight="1"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48" t="s">
        <v>223</v>
      </c>
      <c r="AB162" s="37"/>
    </row>
    <row r="163" spans="3:28" ht="12.75" customHeight="1"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48" t="s">
        <v>224</v>
      </c>
      <c r="AB163" s="37"/>
    </row>
    <row r="164" spans="3:28" ht="12.75" customHeight="1"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 t="s">
        <v>190</v>
      </c>
      <c r="AB164" s="37"/>
    </row>
    <row r="165" spans="3:28" ht="12.75" customHeight="1"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 t="s">
        <v>218</v>
      </c>
      <c r="AB165" s="37"/>
    </row>
    <row r="166" spans="3:28" ht="12.75" customHeight="1"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 t="s">
        <v>219</v>
      </c>
      <c r="AB166" s="37"/>
    </row>
    <row r="167" spans="3:28" ht="12.75" customHeight="1"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</row>
    <row r="168" spans="3:28" ht="12.75" customHeight="1"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</row>
    <row r="169" spans="3:28" ht="12.75" customHeight="1"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</row>
    <row r="170" spans="3:28" ht="12.75" customHeight="1"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</row>
    <row r="171" spans="3:28" ht="12.75" customHeight="1"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</row>
    <row r="172" spans="3:28" ht="12.75" customHeight="1"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</row>
    <row r="173" spans="3:28" ht="12.75" customHeight="1"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</row>
    <row r="174" spans="3:28" ht="12.75" customHeight="1"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</row>
    <row r="175" spans="3:28" ht="12.75" customHeight="1"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</row>
    <row r="176" spans="3:28" ht="12.75" customHeight="1"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</row>
    <row r="177" spans="3:28" ht="12.75" customHeight="1"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</row>
    <row r="178" spans="3:28" ht="12.75" customHeight="1"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</row>
    <row r="179" spans="3:28" ht="12.75" customHeight="1"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</row>
    <row r="180" spans="3:28" ht="12.75" customHeight="1"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</row>
    <row r="181" spans="3:28" ht="12.75" customHeight="1"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</row>
    <row r="182" spans="3:28" ht="12.75" customHeight="1"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</row>
    <row r="183" spans="3:28" ht="12.75" customHeight="1"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</row>
    <row r="184" spans="3:28" ht="12.75" customHeight="1"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</row>
    <row r="185" spans="3:28" ht="12.75" customHeight="1"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</row>
    <row r="186" spans="3:28" ht="12.75" customHeight="1"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</row>
    <row r="187" spans="3:28" ht="12.75" customHeight="1"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</row>
    <row r="188" spans="3:28" ht="12.75" customHeight="1"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</row>
    <row r="189" spans="3:28" ht="12.75" customHeight="1"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</row>
    <row r="190" spans="3:28" ht="12.75" customHeight="1"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</row>
    <row r="191" spans="3:28" ht="12.75" customHeight="1"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</row>
    <row r="192" spans="3:28" ht="12.75" customHeight="1"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</row>
    <row r="193" spans="3:28" ht="12.75" customHeight="1"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</row>
    <row r="194" spans="3:28" ht="12.75" customHeight="1"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</row>
    <row r="195" spans="3:28" ht="12.75" customHeight="1"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</row>
    <row r="196" spans="3:28" ht="12.75" customHeight="1"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</row>
    <row r="197" spans="3:28" ht="12.75" customHeight="1"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</row>
    <row r="198" spans="3:28" ht="12.75" customHeight="1"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</row>
    <row r="199" spans="3:28" ht="12.75" customHeight="1"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</row>
    <row r="200" spans="3:28" ht="12.75" customHeight="1"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</row>
    <row r="201" spans="3:28" ht="12.75" customHeight="1"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</row>
    <row r="202" spans="3:28" ht="12.75" customHeight="1"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</row>
    <row r="203" spans="3:28" ht="12.75" customHeight="1"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</row>
    <row r="204" spans="3:28" ht="12.75" customHeight="1"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</row>
    <row r="205" spans="3:28" ht="12.75" customHeight="1"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</row>
    <row r="206" spans="3:28" ht="12.75" customHeight="1"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</row>
    <row r="207" spans="3:28" ht="12.75" customHeight="1"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</row>
    <row r="208" spans="3:28" ht="12.75" customHeight="1"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</row>
    <row r="209" spans="3:28" ht="12.75" customHeight="1"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</row>
    <row r="210" spans="3:28" ht="12.75" customHeight="1"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</row>
    <row r="211" spans="3:28" ht="12.75" customHeight="1"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</row>
    <row r="212" spans="3:28" ht="12.75" customHeight="1"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</row>
    <row r="213" spans="3:28" ht="12.75" customHeight="1"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</row>
    <row r="214" spans="3:28" ht="12.75" customHeight="1"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</row>
    <row r="215" spans="3:28" ht="12.75" customHeight="1"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</row>
    <row r="216" spans="3:28" ht="12.75" customHeight="1"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</row>
    <row r="217" spans="3:28" ht="12.75" customHeight="1"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</row>
    <row r="218" spans="3:28" ht="12.75" customHeight="1"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</row>
    <row r="219" spans="3:28" ht="12.75" customHeight="1"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</row>
    <row r="220" spans="3:28" ht="12.75" customHeight="1"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</row>
    <row r="221" spans="3:28" ht="12.75" customHeight="1"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</row>
    <row r="222" spans="3:28" ht="12.75" customHeight="1"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</row>
    <row r="223" spans="3:28" ht="12.75" customHeight="1"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</row>
    <row r="224" spans="3:28" ht="12.75" customHeight="1"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</row>
    <row r="225" spans="3:28" ht="12.75" customHeight="1"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</row>
    <row r="226" spans="3:28" ht="12.75" customHeight="1"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</row>
    <row r="227" spans="3:28" ht="12.75" customHeight="1"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</row>
    <row r="228" spans="3:28" ht="12.75" customHeight="1"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</row>
    <row r="229" spans="3:28" ht="12.75" customHeight="1"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</row>
    <row r="230" spans="3:28" ht="12.75" customHeight="1"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</row>
    <row r="231" spans="3:28" ht="12.75" customHeight="1"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</row>
    <row r="232" spans="3:28" ht="12.75" customHeight="1"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</row>
    <row r="233" spans="3:28" ht="12.75" customHeight="1"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</row>
    <row r="234" spans="3:28" ht="12.75" customHeight="1"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</row>
    <row r="235" spans="3:28" ht="12.75" customHeight="1"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</row>
    <row r="236" spans="3:28" ht="12.75" customHeight="1"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</row>
    <row r="237" spans="3:28" ht="12.75" customHeight="1"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</row>
    <row r="238" spans="3:28" ht="12.75" customHeight="1"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</row>
    <row r="239" spans="3:28" ht="12.75" customHeight="1"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</row>
    <row r="240" spans="3:28" ht="12.75" customHeight="1"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</row>
    <row r="241" spans="3:28" ht="12.75" customHeight="1"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</row>
    <row r="242" spans="3:28" ht="12.75" customHeight="1"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</row>
    <row r="243" spans="3:28" ht="12.75" customHeight="1"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</row>
    <row r="244" spans="3:28" ht="12.75" customHeight="1"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</row>
    <row r="245" spans="3:28" ht="12.75" customHeight="1"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</row>
    <row r="246" spans="3:28" ht="12.75" customHeight="1"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</row>
    <row r="247" spans="3:28" ht="12.75" customHeight="1"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</row>
    <row r="248" spans="3:28" ht="12.75" customHeight="1"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</row>
    <row r="249" spans="3:28" ht="12.75" customHeight="1"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</row>
    <row r="250" spans="3:28" ht="12.75" customHeight="1"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</row>
    <row r="251" spans="3:28" ht="12.75" customHeight="1"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</row>
    <row r="252" spans="3:28" ht="12.75" customHeight="1"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</row>
    <row r="253" spans="3:28" ht="12.75" customHeight="1"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</row>
    <row r="254" spans="3:28" ht="12.75" customHeight="1"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</row>
    <row r="255" spans="3:28" ht="12.75" customHeight="1"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</row>
    <row r="256" spans="3:28" ht="12.75" customHeight="1"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</row>
    <row r="257" spans="3:28" ht="12.75" customHeight="1"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</row>
    <row r="258" spans="3:28" ht="12.75" customHeight="1"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</row>
    <row r="259" spans="3:28" ht="12.75" customHeight="1"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</row>
    <row r="260" spans="3:28" ht="12.75" customHeight="1"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</row>
    <row r="261" spans="3:28" ht="12.75" customHeight="1"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</row>
    <row r="262" spans="3:28" ht="12.75" customHeight="1"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</row>
    <row r="263" spans="3:28" ht="12.75" customHeight="1"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</row>
    <row r="264" spans="3:28" ht="12.75" customHeight="1"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</row>
    <row r="265" spans="3:28" ht="12.75" customHeight="1"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</row>
    <row r="266" spans="3:28" ht="12.75" customHeight="1"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</row>
    <row r="267" spans="3:28" ht="12.75" customHeight="1"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</row>
    <row r="268" spans="3:28" ht="12.75" customHeight="1"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</row>
    <row r="269" spans="3:28" ht="12.75" customHeight="1"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</row>
    <row r="270" spans="3:28" ht="12.75" customHeight="1"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</row>
    <row r="271" spans="3:28" ht="12.75" customHeight="1"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</row>
    <row r="272" spans="3:28" ht="12.75" customHeight="1"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</row>
    <row r="273" spans="3:28" ht="12.75" customHeight="1"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</row>
    <row r="274" spans="3:28" ht="12.75" customHeight="1"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</row>
    <row r="275" spans="3:28" ht="12.75" customHeight="1"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</row>
    <row r="276" spans="3:28" ht="12.75" customHeight="1"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</row>
    <row r="277" spans="3:28" ht="12.75" customHeight="1"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</row>
    <row r="278" spans="3:28" ht="12.75" customHeight="1"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</row>
    <row r="279" spans="3:28" ht="12.75" customHeight="1"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</row>
    <row r="280" spans="3:28" ht="12.75" customHeight="1"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</row>
    <row r="281" spans="3:28" ht="12.75" customHeight="1"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</row>
    <row r="282" spans="3:28" ht="12.75" customHeight="1"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</row>
    <row r="283" spans="3:28" ht="12.75" customHeight="1"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</row>
    <row r="284" spans="3:28" ht="12.75" customHeight="1"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</row>
    <row r="285" spans="3:28" ht="12.75" customHeight="1"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</row>
    <row r="286" spans="3:28" ht="12.75" customHeight="1"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</row>
    <row r="287" spans="3:28" ht="12.75" customHeight="1"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</row>
    <row r="288" spans="3:28" ht="12.75" customHeight="1"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</row>
    <row r="289" spans="3:28" ht="12.75" customHeight="1"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</row>
    <row r="290" spans="3:28" ht="12.75" customHeight="1"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</row>
    <row r="291" spans="3:28" ht="12.75" customHeight="1"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</row>
    <row r="292" spans="3:28" ht="12.75" customHeight="1"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</row>
    <row r="293" spans="3:28" ht="12.75" customHeight="1"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</row>
    <row r="294" spans="3:28" ht="12.75" customHeight="1"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</row>
    <row r="295" spans="3:28" ht="12.75" customHeight="1"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</row>
    <row r="296" spans="3:28" ht="12.75" customHeight="1"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</row>
    <row r="297" spans="3:28" ht="12.75" customHeight="1"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</row>
    <row r="298" spans="3:28" ht="12.75" customHeight="1"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</row>
    <row r="299" spans="3:28" ht="12.75" customHeight="1"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</row>
    <row r="300" spans="3:28" ht="12.75" customHeight="1"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</row>
    <row r="301" spans="3:28" ht="12.75" customHeight="1"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</row>
    <row r="302" spans="3:28" ht="12.75" customHeight="1"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</row>
    <row r="303" spans="3:28" ht="12.75" customHeight="1"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</row>
    <row r="304" spans="3:28" ht="12.75" customHeight="1"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</row>
    <row r="305" spans="3:28" ht="12.75" customHeight="1"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</row>
    <row r="306" spans="3:28" ht="12.75" customHeight="1"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</row>
    <row r="307" spans="3:28" ht="12.75" customHeight="1"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</row>
    <row r="308" spans="3:28" ht="12.75" customHeight="1"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</row>
    <row r="309" spans="3:28" ht="12.75" customHeight="1"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</row>
    <row r="310" spans="3:28" ht="12.75" customHeight="1"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</row>
    <row r="311" spans="3:28" ht="12.75" customHeight="1"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</row>
    <row r="312" spans="3:28" ht="12.75" customHeight="1"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</row>
    <row r="313" spans="3:28" ht="12.75" customHeight="1"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</row>
    <row r="314" spans="3:28" ht="12.75" customHeight="1"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</row>
    <row r="315" spans="3:28" ht="12.75" customHeight="1"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</row>
    <row r="316" spans="3:28" ht="12.75" customHeight="1"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</row>
    <row r="317" spans="3:28" ht="12.75" customHeight="1"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</row>
    <row r="318" spans="3:28" ht="12.75" customHeight="1"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</row>
    <row r="319" spans="3:28" ht="12.75" customHeight="1"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</row>
    <row r="320" spans="3:28" ht="12.75" customHeight="1"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</row>
    <row r="321" spans="3:28" ht="12.75" customHeight="1"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</row>
    <row r="322" spans="3:28" ht="12.75" customHeight="1"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</row>
    <row r="323" spans="3:28" ht="12.75" customHeight="1"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</row>
    <row r="324" spans="3:28" ht="12.75" customHeight="1"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</row>
    <row r="325" spans="3:28" ht="12.75" customHeight="1"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</row>
    <row r="326" spans="3:28" ht="12.75" customHeight="1"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</row>
    <row r="327" spans="3:28" ht="12.75" customHeight="1"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</row>
    <row r="328" spans="3:28" ht="12.75" customHeight="1"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</row>
    <row r="329" spans="3:28" ht="12.75" customHeight="1"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</row>
    <row r="330" spans="3:28" ht="12.75" customHeight="1"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</row>
    <row r="331" spans="3:28" ht="12.75" customHeight="1"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</row>
    <row r="332" spans="3:28" ht="12.75" customHeight="1"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</row>
    <row r="333" spans="3:28" ht="12.75" customHeight="1"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</row>
    <row r="334" spans="3:28" ht="12.75" customHeight="1"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</row>
    <row r="335" spans="3:28" ht="12.75" customHeight="1"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</row>
    <row r="336" spans="3:28" ht="12.75" customHeight="1"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</row>
    <row r="337" spans="3:28" ht="12.75" customHeight="1"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</row>
    <row r="338" spans="3:28" ht="12.75" customHeight="1"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</row>
    <row r="339" spans="3:28" ht="12.75" customHeight="1"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</row>
    <row r="340" spans="3:28" ht="12.75" customHeight="1"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</row>
    <row r="341" spans="3:28" ht="12.75" customHeight="1"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</row>
    <row r="342" spans="3:28" ht="12.75" customHeight="1"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</row>
    <row r="343" spans="3:28" ht="12.75" customHeight="1"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</row>
    <row r="344" spans="3:28" ht="12.75" customHeight="1"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</row>
    <row r="345" spans="3:28" ht="12.75" customHeight="1"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</row>
    <row r="346" spans="3:28" ht="12.75" customHeight="1"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</row>
    <row r="347" spans="3:28" ht="12.75" customHeight="1"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</row>
    <row r="348" spans="3:28" ht="12.75" customHeight="1"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</row>
    <row r="349" spans="3:28" ht="12.75" customHeight="1"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</row>
    <row r="350" spans="3:28" ht="12.75" customHeight="1"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</row>
    <row r="351" spans="3:28" ht="12.75" customHeight="1"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</row>
    <row r="352" spans="3:28" ht="12.75" customHeight="1"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</row>
    <row r="353" spans="3:28" ht="12.75" customHeight="1"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</row>
    <row r="354" spans="3:28" ht="12.75" customHeight="1"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</row>
    <row r="355" spans="3:28" ht="12.75" customHeight="1"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</row>
    <row r="356" spans="3:28" ht="12.75" customHeight="1"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</row>
    <row r="357" spans="3:28" ht="12.75" customHeight="1"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</row>
    <row r="358" spans="3:28" ht="12.75" customHeight="1"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</row>
    <row r="359" spans="3:28" ht="12.75" customHeight="1"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</row>
    <row r="360" spans="3:28" ht="12.75" customHeight="1"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</row>
    <row r="361" spans="3:28" ht="12.75" customHeight="1"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</row>
    <row r="362" spans="3:28" ht="12.75" customHeight="1"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</row>
    <row r="363" spans="3:28" ht="12.75" customHeight="1"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</row>
    <row r="364" spans="3:28" ht="12.75" customHeight="1"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</row>
    <row r="365" spans="3:28" ht="12.75" customHeight="1"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</row>
    <row r="366" spans="3:28" ht="12.75" customHeight="1"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</row>
    <row r="367" spans="3:28" ht="12.75" customHeight="1"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</row>
    <row r="368" spans="3:28" ht="12.75" customHeight="1"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</row>
    <row r="369" spans="3:28" ht="12.75" customHeight="1"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</row>
    <row r="370" spans="3:28" ht="12.75" customHeight="1"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</row>
    <row r="371" spans="3:28" ht="12.75" customHeight="1"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</row>
    <row r="372" spans="3:28" ht="12.75" customHeight="1"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</row>
    <row r="373" spans="3:28" ht="12.75" customHeight="1"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</row>
    <row r="374" spans="3:28" ht="12.75" customHeight="1"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</row>
    <row r="375" spans="3:28" ht="12.75" customHeight="1"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</row>
    <row r="376" spans="3:28" ht="12.75" customHeight="1"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</row>
    <row r="377" spans="3:28" ht="12.75" customHeight="1"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</row>
    <row r="378" spans="3:28" ht="12.75" customHeight="1"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</row>
    <row r="379" spans="3:28" ht="12.75" customHeight="1"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</row>
    <row r="380" spans="3:28" ht="12.75" customHeight="1"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</row>
    <row r="381" spans="3:28" ht="12.75" customHeight="1"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</row>
    <row r="382" spans="3:28" ht="12.75" customHeight="1"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</row>
    <row r="383" spans="3:28" ht="12.75" customHeight="1"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</row>
    <row r="384" spans="3:28" ht="12.75" customHeight="1"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</row>
    <row r="385" spans="3:28" ht="12.75" customHeight="1"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</row>
    <row r="386" spans="3:28" ht="12.75" customHeight="1"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</row>
    <row r="387" spans="3:28" ht="12.75" customHeight="1"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</row>
    <row r="388" spans="3:28" ht="12.75" customHeight="1"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</row>
    <row r="389" spans="3:28" ht="12.75" customHeight="1"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</row>
    <row r="390" spans="3:28" ht="12.75" customHeight="1"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</row>
    <row r="391" spans="3:28" ht="12.75" customHeight="1"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</row>
    <row r="392" spans="3:28" ht="12.75" customHeight="1"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</row>
    <row r="393" spans="3:28" ht="12.75" customHeight="1"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</row>
    <row r="394" spans="3:28" ht="12.75" customHeight="1"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</row>
    <row r="395" spans="3:28" ht="12.75" customHeight="1"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</row>
    <row r="396" spans="3:28" ht="12.75" customHeight="1"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</row>
    <row r="397" spans="3:28" ht="12.75" customHeight="1"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</row>
    <row r="398" spans="3:28" ht="12.75" customHeight="1"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</row>
    <row r="399" spans="3:28" ht="12.75" customHeight="1"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</row>
    <row r="400" spans="3:28" ht="12.75" customHeight="1"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</row>
    <row r="401" spans="3:28" ht="12.75" customHeight="1"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</row>
    <row r="402" spans="3:28" ht="12.75" customHeight="1"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</row>
    <row r="403" spans="3:28" ht="12.75" customHeight="1"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</row>
    <row r="404" spans="3:28" ht="12.75" customHeight="1"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</row>
    <row r="405" spans="3:28" ht="12.75" customHeight="1"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</row>
    <row r="406" spans="3:28" ht="12.75" customHeight="1"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</row>
    <row r="407" spans="3:28" ht="12.75" customHeight="1"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</row>
    <row r="408" spans="3:28" ht="12.75" customHeight="1"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</row>
    <row r="409" spans="3:28" ht="12.75" customHeight="1"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</row>
    <row r="410" spans="3:28" ht="12.75" customHeight="1"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</row>
    <row r="411" spans="3:28" ht="12.75" customHeight="1"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</row>
    <row r="412" spans="3:28" ht="12.75" customHeight="1"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</row>
    <row r="413" spans="3:28" ht="12.75" customHeight="1"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</row>
    <row r="414" spans="3:28" ht="12.75" customHeight="1"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</row>
    <row r="415" spans="3:28" ht="12.75" customHeight="1"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</row>
    <row r="416" spans="3:28" ht="12.75" customHeight="1"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</row>
    <row r="417" spans="3:28" ht="12.75" customHeight="1"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</row>
    <row r="418" spans="3:28" ht="12.75" customHeight="1"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</row>
    <row r="419" spans="3:28" ht="12.75" customHeight="1"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</row>
    <row r="420" spans="3:28" ht="12.75" customHeight="1"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</row>
    <row r="421" spans="3:28" ht="12.75" customHeight="1"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</row>
    <row r="422" spans="3:28" ht="12.75" customHeight="1"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</row>
    <row r="423" spans="3:28" ht="12.75" customHeight="1"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</row>
    <row r="424" spans="3:28" ht="12.75" customHeight="1"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</row>
    <row r="425" spans="3:28" ht="12.75" customHeight="1"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</row>
    <row r="426" spans="3:28" ht="12.75" customHeight="1"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</row>
    <row r="427" spans="3:28" ht="12.75" customHeight="1"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</row>
    <row r="428" spans="3:28" ht="12.75" customHeight="1"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</row>
    <row r="429" spans="3:28" ht="12.75" customHeight="1"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</row>
    <row r="430" spans="3:28" ht="12.75" customHeight="1"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</row>
    <row r="431" spans="3:28" ht="12.75" customHeight="1"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</row>
    <row r="432" spans="3:28" ht="12.75" customHeight="1"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</row>
    <row r="433" spans="3:28" ht="12.75" customHeight="1"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</row>
    <row r="434" spans="3:28" ht="12.75" customHeight="1"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</row>
    <row r="435" spans="3:28" ht="12.75" customHeight="1"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</row>
    <row r="436" spans="3:28" ht="12.75" customHeight="1"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</row>
    <row r="437" spans="3:28" ht="12.75" customHeight="1"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</row>
    <row r="438" spans="3:28" ht="12.75" customHeight="1"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</row>
    <row r="439" spans="3:28" ht="12.75" customHeight="1"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</row>
    <row r="440" spans="3:28" ht="12.75" customHeight="1"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</row>
    <row r="441" spans="3:28" ht="12.75" customHeight="1"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</row>
    <row r="442" spans="3:28" ht="12.75" customHeight="1"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</row>
    <row r="443" spans="3:28" ht="12.75" customHeight="1"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</row>
    <row r="444" spans="3:28" ht="12.75" customHeight="1"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</row>
    <row r="445" spans="3:28" ht="12.75" customHeight="1"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</row>
    <row r="446" spans="3:28" ht="12.75" customHeight="1"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</row>
    <row r="447" spans="3:28" ht="12.75" customHeight="1"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</row>
    <row r="448" spans="3:28" ht="12.75" customHeight="1"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</row>
    <row r="449" spans="3:28" ht="12.75" customHeight="1"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</row>
    <row r="450" spans="3:28" ht="12.75" customHeight="1"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</row>
    <row r="451" spans="3:28" ht="12.75" customHeight="1"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</row>
    <row r="452" spans="3:28" ht="12.75" customHeight="1"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</row>
    <row r="453" spans="3:28" ht="12.75" customHeight="1"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</row>
    <row r="454" spans="3:28" ht="12.75" customHeight="1"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</row>
    <row r="455" spans="3:28" ht="12.75" customHeight="1"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</row>
    <row r="456" spans="3:28" ht="12.75" customHeight="1"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</row>
    <row r="457" spans="3:28" ht="12.75" customHeight="1"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</row>
    <row r="458" spans="3:28" ht="12.75" customHeight="1"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</row>
    <row r="459" spans="3:28" ht="12.75" customHeight="1"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</row>
    <row r="460" spans="3:28" ht="12.75" customHeight="1"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</row>
    <row r="461" spans="3:28" ht="12.75" customHeight="1"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</row>
    <row r="462" spans="3:28" ht="12.75" customHeight="1"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</row>
    <row r="463" spans="3:28" ht="12.75" customHeight="1"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</row>
    <row r="464" spans="3:28" ht="12.75" customHeight="1"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</row>
    <row r="465" spans="3:28" ht="12.75" customHeight="1"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</row>
    <row r="466" spans="3:28" ht="12.75" customHeight="1"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</row>
    <row r="467" spans="3:28" ht="12.75" customHeight="1"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</row>
    <row r="468" spans="3:28" ht="12.75" customHeight="1"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</row>
    <row r="469" spans="3:28" ht="12.75" customHeight="1"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</row>
    <row r="470" spans="3:28" ht="12.75" customHeight="1"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</row>
    <row r="471" spans="3:28" ht="12.75" customHeight="1"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</row>
    <row r="472" spans="3:28" ht="12.75" customHeight="1"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</row>
    <row r="473" spans="3:28" ht="12.75" customHeight="1"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</row>
    <row r="474" spans="3:28" ht="12.75" customHeight="1"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</row>
    <row r="475" spans="3:28" ht="12.75" customHeight="1"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</row>
    <row r="476" spans="3:28" ht="12.75" customHeight="1"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</row>
    <row r="477" spans="3:28" ht="12.75" customHeight="1"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</row>
    <row r="478" spans="3:28" ht="12.75" customHeight="1"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</row>
    <row r="479" spans="3:28" ht="12.75" customHeight="1"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</row>
    <row r="480" spans="3:28" ht="12.75" customHeight="1"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</row>
    <row r="481" spans="3:28" ht="12.75" customHeight="1"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</row>
    <row r="482" spans="3:28" ht="12.75" customHeight="1"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</row>
    <row r="483" spans="3:28" ht="12.75" customHeight="1"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</row>
    <row r="484" spans="3:28" ht="12.75" customHeight="1"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</row>
    <row r="485" spans="3:28" ht="12.75" customHeight="1"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</row>
    <row r="486" spans="3:28" ht="12.75" customHeight="1"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</row>
    <row r="487" spans="3:28" ht="12.75" customHeight="1"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</row>
    <row r="488" spans="3:28" ht="12.75" customHeight="1"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</row>
    <row r="489" spans="3:28" ht="12.75" customHeight="1"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</row>
    <row r="490" spans="3:28" ht="12.75" customHeight="1"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</row>
    <row r="491" spans="3:28" ht="12.75" customHeight="1"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</row>
    <row r="492" spans="3:28" ht="12.75" customHeight="1"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</row>
    <row r="493" spans="3:28" ht="12.75" customHeight="1"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</row>
    <row r="494" spans="3:28" ht="12.75" customHeight="1"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</row>
    <row r="495" spans="3:28" ht="12.75" customHeight="1"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</row>
    <row r="496" spans="3:28" ht="12.75" customHeight="1"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</row>
    <row r="497" spans="3:28" ht="12.75" customHeight="1"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</row>
    <row r="498" spans="3:28" ht="12.75" customHeight="1"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</row>
    <row r="499" spans="3:28" ht="12.75" customHeight="1"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</row>
    <row r="500" spans="3:28" ht="12.75" customHeight="1"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</row>
    <row r="501" spans="3:28" ht="12.75" customHeight="1"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</row>
    <row r="502" spans="3:28" ht="12.75" customHeight="1"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</row>
    <row r="503" spans="3:28" ht="12.75" customHeight="1"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</row>
    <row r="504" spans="3:28" ht="12.75" customHeight="1"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</row>
    <row r="505" spans="3:28" ht="12.75" customHeight="1"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</row>
    <row r="506" spans="3:28" ht="12.75" customHeight="1"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</row>
    <row r="507" spans="3:28" ht="12.75" customHeight="1"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</row>
    <row r="508" spans="3:28" ht="12.75" customHeight="1"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</row>
    <row r="509" spans="3:28" ht="12.75" customHeight="1"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</row>
    <row r="510" spans="3:28" ht="12.75" customHeight="1"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</row>
    <row r="511" spans="3:28" ht="12.75" customHeight="1"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</row>
    <row r="512" spans="3:28" ht="12.75" customHeight="1"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</row>
    <row r="513" spans="3:28" ht="12.75" customHeight="1"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</row>
    <row r="514" spans="3:28" ht="12.75" customHeight="1"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</row>
    <row r="515" spans="3:28" ht="12.75" customHeight="1"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</row>
    <row r="516" spans="3:28" ht="12.75" customHeight="1"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</row>
    <row r="517" spans="3:28" ht="12.75" customHeight="1"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</row>
    <row r="518" spans="3:28" ht="12.75" customHeight="1"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</row>
    <row r="519" spans="3:28" ht="12.75" customHeight="1"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</row>
    <row r="520" spans="3:28" ht="12.75" customHeight="1"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</row>
    <row r="521" spans="3:28" ht="12.75" customHeight="1"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</row>
    <row r="522" spans="3:28" ht="12.75" customHeight="1"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</row>
    <row r="523" spans="3:28" ht="12.75" customHeight="1"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</row>
    <row r="524" spans="3:28" ht="12.75" customHeight="1"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</row>
    <row r="525" spans="3:28" ht="12.75" customHeight="1"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</row>
    <row r="526" spans="3:28" ht="12.75" customHeight="1"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</row>
    <row r="527" spans="3:28" ht="12.75" customHeight="1"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</row>
    <row r="528" spans="3:28" ht="12.75" customHeight="1"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</row>
    <row r="529" spans="3:28" ht="12.75" customHeight="1"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</row>
    <row r="530" spans="3:28" ht="12.75" customHeight="1"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</row>
    <row r="531" spans="3:28" ht="12.75" customHeight="1"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</row>
    <row r="532" spans="3:28" ht="12.75" customHeight="1"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</row>
    <row r="533" spans="3:28" ht="12.75" customHeight="1"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</row>
    <row r="534" spans="3:28" ht="12.75" customHeight="1"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</row>
    <row r="535" spans="3:28" ht="12.75" customHeight="1"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</row>
    <row r="536" spans="3:28" ht="12.75" customHeight="1"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</row>
    <row r="537" spans="3:28" ht="12.75" customHeight="1"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</row>
    <row r="538" spans="3:28" ht="12.75" customHeight="1"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</row>
    <row r="539" spans="3:28" ht="12.75" customHeight="1"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</row>
    <row r="540" spans="3:28" ht="12.75" customHeight="1"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</row>
    <row r="541" spans="3:28" ht="12.75" customHeight="1"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</row>
    <row r="542" spans="3:28" ht="12.75" customHeight="1"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</row>
    <row r="543" spans="3:28" ht="12.75" customHeight="1"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</row>
    <row r="544" spans="3:28" ht="12.75" customHeight="1"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</row>
    <row r="545" spans="3:28" ht="12.75" customHeight="1"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</row>
    <row r="546" spans="3:28" ht="12.75" customHeight="1"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</row>
    <row r="547" spans="3:28" ht="12.75" customHeight="1"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</row>
    <row r="548" spans="3:28" ht="12.75" customHeight="1"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</row>
    <row r="549" spans="3:28" ht="12.75" customHeight="1"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</row>
    <row r="550" spans="3:28" ht="12.75" customHeight="1"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</row>
    <row r="551" spans="3:28" ht="12.75" customHeight="1"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</row>
    <row r="552" spans="3:28" ht="12.75" customHeight="1"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</row>
    <row r="553" spans="3:28" ht="12.75" customHeight="1"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</row>
    <row r="554" spans="3:28" ht="12.75" customHeight="1"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</row>
    <row r="555" spans="3:28" ht="12.75" customHeight="1"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</row>
    <row r="556" spans="3:28" ht="12.75" customHeight="1"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</row>
    <row r="557" spans="3:28" ht="12.75" customHeight="1"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</row>
    <row r="558" spans="3:28" ht="12.75" customHeight="1"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</row>
    <row r="559" spans="3:28" ht="12.75" customHeight="1"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</row>
    <row r="560" spans="3:28" ht="12.75" customHeight="1"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</row>
    <row r="561" spans="3:28" ht="12.75" customHeight="1"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</row>
    <row r="562" spans="3:28" ht="12.75" customHeight="1"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</row>
    <row r="563" spans="3:28" ht="12.75" customHeight="1"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</row>
    <row r="564" spans="3:28" ht="12.75" customHeight="1"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</row>
    <row r="565" spans="3:28" ht="12.75" customHeight="1"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</row>
    <row r="566" spans="3:28" ht="12.75" customHeight="1"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</row>
    <row r="567" spans="3:28" ht="12.75" customHeight="1"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</row>
    <row r="568" spans="3:28" ht="12.75" customHeight="1"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</row>
    <row r="569" spans="3:28" ht="12.75" customHeight="1"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</row>
    <row r="570" spans="3:28" ht="12.75" customHeight="1"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</row>
    <row r="571" spans="3:28" ht="12.75" customHeight="1"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</row>
    <row r="572" spans="3:28" ht="12.75" customHeight="1"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</row>
    <row r="573" spans="3:28" ht="12.75" customHeight="1"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</row>
    <row r="574" spans="3:28" ht="12.75" customHeight="1"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</row>
    <row r="575" spans="3:28" ht="12.75" customHeight="1"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</row>
    <row r="576" spans="3:28" ht="12.75" customHeight="1"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</row>
    <row r="577" spans="3:28" ht="12.75" customHeight="1"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</row>
    <row r="578" spans="3:28" ht="12.75" customHeight="1"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</row>
    <row r="579" spans="3:28" ht="12.75" customHeight="1"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</row>
    <row r="580" spans="3:28" ht="12.75" customHeight="1"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</row>
    <row r="581" spans="3:28" ht="12.75" customHeight="1"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</row>
    <row r="582" spans="3:28" ht="12.75" customHeight="1"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</row>
    <row r="583" spans="3:28" ht="12.75" customHeight="1"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</row>
    <row r="584" spans="3:28" ht="12.75" customHeight="1"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</row>
    <row r="585" spans="3:28" ht="12.75" customHeight="1"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</row>
    <row r="586" spans="3:28" ht="12.75" customHeight="1"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</row>
    <row r="587" spans="3:28" ht="12.75" customHeight="1"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</row>
    <row r="588" spans="3:28" ht="12.75" customHeight="1"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</row>
    <row r="589" spans="3:28" ht="12.75" customHeight="1"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</row>
    <row r="590" spans="3:28" ht="12.75" customHeight="1"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</row>
    <row r="591" spans="3:28" ht="12.75" customHeight="1"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</row>
    <row r="592" spans="3:28" ht="12.75" customHeight="1"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</row>
    <row r="593" spans="3:28" ht="12.75" customHeight="1"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</row>
    <row r="594" spans="3:28" ht="12.75" customHeight="1"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</row>
    <row r="595" spans="3:28" ht="12.75" customHeight="1"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</row>
    <row r="596" spans="3:28" ht="12.75" customHeight="1"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</row>
    <row r="597" spans="3:28" ht="12.75" customHeight="1"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</row>
    <row r="598" spans="3:28" ht="12.75" customHeight="1"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</row>
    <row r="599" spans="3:28" ht="12.75" customHeight="1"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</row>
    <row r="600" spans="3:28" ht="12.75" customHeight="1"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</row>
    <row r="601" spans="3:28" ht="12.75" customHeight="1"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</row>
    <row r="602" spans="3:28" ht="12.75" customHeight="1"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</row>
    <row r="603" spans="3:28" ht="12.75" customHeight="1"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</row>
    <row r="604" spans="3:28" ht="12.75" customHeight="1"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</row>
    <row r="605" spans="3:28" ht="12.75" customHeight="1"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</row>
    <row r="606" spans="3:28" ht="12.75" customHeight="1"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</row>
    <row r="607" spans="3:28" ht="12.75" customHeight="1"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</row>
    <row r="608" spans="3:28" ht="12.75" customHeight="1"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</row>
    <row r="609" spans="3:28" ht="12.75" customHeight="1"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</row>
    <row r="610" spans="3:28" ht="12.75" customHeight="1"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</row>
    <row r="611" spans="3:28" ht="12.75" customHeight="1"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</row>
    <row r="612" spans="3:28" ht="12.75" customHeight="1"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</row>
    <row r="613" spans="3:28" ht="12.75" customHeight="1"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</row>
    <row r="614" spans="3:28" ht="12.75" customHeight="1"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</row>
    <row r="615" spans="3:28" ht="12.75" customHeight="1"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</row>
    <row r="616" spans="3:28" ht="12.75" customHeight="1"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</row>
    <row r="617" spans="3:28" ht="12.75" customHeight="1"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</row>
    <row r="618" spans="3:28" ht="12.75" customHeight="1"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</row>
    <row r="619" spans="3:28" ht="12.75" customHeight="1"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</row>
    <row r="620" spans="3:28" ht="12.75" customHeight="1"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</row>
    <row r="621" spans="3:28" ht="12.75" customHeight="1"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</row>
    <row r="622" spans="3:28" ht="12.75" customHeight="1"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</row>
    <row r="623" spans="3:28" ht="12.75" customHeight="1"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</row>
    <row r="624" spans="3:28" ht="12.75" customHeight="1"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</row>
    <row r="625" spans="3:28" ht="12.75" customHeight="1"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</row>
    <row r="626" spans="3:28" ht="12.75" customHeight="1"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</row>
    <row r="627" spans="3:28" ht="12.75" customHeight="1"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</row>
    <row r="628" spans="3:28" ht="12.75" customHeight="1"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</row>
    <row r="629" spans="3:28" ht="12.75" customHeight="1"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</row>
    <row r="630" spans="3:28" ht="12.75" customHeight="1"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</row>
    <row r="631" spans="3:28" ht="12.75" customHeight="1"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</row>
    <row r="632" spans="3:28" ht="12.75" customHeight="1"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</row>
    <row r="633" spans="3:28" ht="12.75" customHeight="1"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</row>
    <row r="634" spans="3:28" ht="12.75" customHeight="1"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</row>
    <row r="635" spans="3:28" ht="12.75" customHeight="1"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</row>
    <row r="636" spans="3:28" ht="12.75" customHeight="1"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</row>
    <row r="637" spans="3:28" ht="12.75" customHeight="1"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</row>
    <row r="638" spans="3:28" ht="12.75" customHeight="1"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</row>
    <row r="639" spans="3:28" ht="12.75" customHeight="1"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</row>
    <row r="640" spans="3:28" ht="12.75" customHeight="1"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</row>
    <row r="641" spans="3:28" ht="12.75" customHeight="1"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</row>
    <row r="642" spans="3:28" ht="12.75" customHeight="1"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</row>
    <row r="643" spans="3:28" ht="12.75" customHeight="1"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</row>
    <row r="644" spans="3:28" ht="12.75" customHeight="1"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</row>
    <row r="645" spans="3:28" ht="12.75" customHeight="1"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</row>
    <row r="646" spans="3:28" ht="12.75" customHeight="1"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</row>
    <row r="647" spans="3:28" ht="12.75" customHeight="1"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</row>
    <row r="648" spans="3:28" ht="12.75" customHeight="1"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</row>
    <row r="649" spans="3:28" ht="12.75" customHeight="1"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</row>
    <row r="650" spans="3:28" ht="12.75" customHeight="1"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</row>
    <row r="651" spans="3:28" ht="12.75" customHeight="1"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</row>
    <row r="652" spans="3:28" ht="12.75" customHeight="1"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</row>
    <row r="653" spans="3:28" ht="12.75" customHeight="1"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</row>
    <row r="654" spans="3:28" ht="12.75" customHeight="1"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</row>
    <row r="655" spans="3:28" ht="12.75" customHeight="1"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</row>
    <row r="656" spans="3:28" ht="12.75" customHeight="1"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</row>
    <row r="657" spans="3:28" ht="12.75" customHeight="1"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</row>
    <row r="658" spans="3:28" ht="12.75" customHeight="1"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</row>
    <row r="659" spans="3:28" ht="12.75" customHeight="1"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</row>
    <row r="660" spans="3:28" ht="12.75" customHeight="1"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</row>
    <row r="661" spans="3:28" ht="12.75" customHeight="1"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</row>
    <row r="662" spans="3:28" ht="12.75" customHeight="1"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</row>
    <row r="663" spans="3:28" ht="12.75" customHeight="1"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</row>
    <row r="664" spans="3:28" ht="12.75" customHeight="1"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</row>
    <row r="665" spans="3:28" ht="12.75" customHeight="1"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</row>
    <row r="666" spans="3:28" ht="12.75" customHeight="1"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</row>
    <row r="667" spans="3:28" ht="12.75" customHeight="1"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</row>
    <row r="668" spans="3:28" ht="12.75" customHeight="1"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</row>
    <row r="669" spans="3:28" ht="12.75" customHeight="1"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</row>
    <row r="670" spans="3:28" ht="12.75" customHeight="1"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</row>
    <row r="671" spans="3:28" ht="12.75" customHeight="1"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</row>
    <row r="672" spans="3:28" ht="12.75" customHeight="1"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</row>
    <row r="673" spans="3:28" ht="12.75" customHeight="1"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</row>
    <row r="674" spans="3:28" ht="12.75" customHeight="1"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</row>
    <row r="675" spans="3:28" ht="12.75" customHeight="1"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</row>
    <row r="676" spans="3:28" ht="12.75" customHeight="1"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</row>
    <row r="677" spans="3:28" ht="12.75" customHeight="1"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</row>
    <row r="678" spans="3:28" ht="12.75" customHeight="1"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</row>
    <row r="679" spans="3:28" ht="12.75" customHeight="1"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</row>
    <row r="680" spans="3:28" ht="12.75" customHeight="1"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</row>
    <row r="681" spans="3:28" ht="12.75" customHeight="1"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</row>
    <row r="682" spans="3:28" ht="12.75" customHeight="1"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</row>
    <row r="683" spans="3:28" ht="12.75" customHeight="1"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</row>
    <row r="684" spans="3:28" ht="12.75" customHeight="1"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</row>
    <row r="685" spans="3:28" ht="12.75" customHeight="1"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</row>
    <row r="686" spans="3:28" ht="12.75" customHeight="1"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</row>
    <row r="687" spans="3:28" ht="12.75" customHeight="1"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</row>
    <row r="688" spans="3:28" ht="12.75" customHeight="1"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</row>
    <row r="689" spans="3:28" ht="12.75" customHeight="1"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</row>
    <row r="690" spans="3:28" ht="12.75" customHeight="1"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</row>
    <row r="691" spans="3:28" ht="12.75" customHeight="1"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</row>
    <row r="692" spans="3:28" ht="12.75" customHeight="1"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</row>
    <row r="693" spans="3:28" ht="12.75" customHeight="1"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</row>
    <row r="694" spans="3:28" ht="12.75" customHeight="1"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</row>
    <row r="695" spans="3:28" ht="12.75" customHeight="1"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</row>
    <row r="696" spans="3:28" ht="12.75" customHeight="1"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</row>
    <row r="697" spans="3:28" ht="12.75" customHeight="1"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</row>
    <row r="698" spans="3:28" ht="12.75" customHeight="1"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</row>
    <row r="699" spans="3:28" ht="12.75" customHeight="1"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</row>
    <row r="700" spans="3:28" ht="12.75" customHeight="1"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</row>
    <row r="701" spans="3:28" ht="12.75" customHeight="1"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</row>
    <row r="702" spans="3:28" ht="12.75" customHeight="1"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</row>
    <row r="703" spans="3:28" ht="12.75" customHeight="1"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</row>
    <row r="704" spans="3:28" ht="12.75" customHeight="1"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</row>
    <row r="705" spans="3:28" ht="12.75" customHeight="1"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</row>
    <row r="706" spans="3:28" ht="12.75" customHeight="1"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</row>
    <row r="707" spans="3:28" ht="12.75" customHeight="1"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</row>
    <row r="708" spans="3:28" ht="12.75" customHeight="1"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</row>
    <row r="709" spans="3:28" ht="12.75" customHeight="1"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</row>
    <row r="710" spans="3:28" ht="12.75" customHeight="1"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</row>
    <row r="711" spans="3:28" ht="12.75" customHeight="1"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</row>
    <row r="712" spans="3:28" ht="12.75" customHeight="1"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</row>
    <row r="713" spans="3:28" ht="12.75" customHeight="1"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</row>
    <row r="714" spans="3:28" ht="12.75" customHeight="1"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</row>
    <row r="715" spans="3:28" ht="12.75" customHeight="1"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</row>
    <row r="716" spans="3:28" ht="12.75" customHeight="1"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</row>
    <row r="717" spans="3:28" ht="12.75" customHeight="1"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</row>
    <row r="718" spans="3:28" ht="12.75" customHeight="1"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</row>
    <row r="719" spans="3:28" ht="12.75" customHeight="1"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</row>
    <row r="720" spans="3:28" ht="12.75" customHeight="1"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</row>
    <row r="721" spans="3:28" ht="12.75" customHeight="1"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</row>
    <row r="722" spans="3:28" ht="12.75" customHeight="1"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</row>
    <row r="723" spans="3:28" ht="12.75" customHeight="1"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</row>
    <row r="724" spans="3:28" ht="12.75" customHeight="1"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</row>
    <row r="725" spans="3:28" ht="12.75" customHeight="1"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</row>
    <row r="726" spans="3:28" ht="12.75" customHeight="1"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</row>
    <row r="727" spans="3:28" ht="12.75" customHeight="1"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</row>
    <row r="728" spans="3:28" ht="12.75" customHeight="1"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</row>
    <row r="729" spans="3:28" ht="12.75" customHeight="1"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</row>
    <row r="730" spans="3:28" ht="12.75" customHeight="1"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</row>
    <row r="731" spans="3:28" ht="12.75" customHeight="1"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</row>
    <row r="732" spans="3:28" ht="12.75" customHeight="1"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</row>
    <row r="733" spans="3:28" ht="12.75" customHeight="1"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</row>
    <row r="734" spans="3:28" ht="12.75" customHeight="1"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</row>
    <row r="735" spans="3:28" ht="12.75" customHeight="1"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</row>
    <row r="736" spans="3:28" ht="12.75" customHeight="1"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</row>
    <row r="737" spans="3:28" ht="12.75" customHeight="1"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</row>
    <row r="738" spans="3:28" ht="12.75" customHeight="1"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</row>
    <row r="739" spans="3:28" ht="12.75" customHeight="1"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</row>
    <row r="740" spans="3:28" ht="12.75" customHeight="1"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</row>
    <row r="741" spans="3:28" ht="12.75" customHeight="1"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</row>
    <row r="742" spans="3:28" ht="12.75" customHeight="1"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</row>
    <row r="743" spans="3:28" ht="12.75" customHeight="1"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</row>
    <row r="744" spans="3:28" ht="12.75" customHeight="1"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</row>
    <row r="745" spans="3:28" ht="12.75" customHeight="1"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</row>
    <row r="746" spans="3:28" ht="12.75" customHeight="1"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</row>
    <row r="747" spans="3:28" ht="12.75" customHeight="1"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</row>
    <row r="748" spans="3:28" ht="12.75" customHeight="1"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</row>
    <row r="749" spans="3:28" ht="12.75" customHeight="1"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</row>
    <row r="750" spans="3:28" ht="12.75" customHeight="1"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</row>
    <row r="751" spans="3:28" ht="12.75" customHeight="1"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</row>
    <row r="752" spans="3:28" ht="12.75" customHeight="1"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</row>
    <row r="753" spans="3:28" ht="12.75" customHeight="1"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</row>
    <row r="754" spans="3:28" ht="12.75" customHeight="1"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</row>
    <row r="755" spans="3:28" ht="12.75" customHeight="1"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</row>
    <row r="756" spans="3:28" ht="12.75" customHeight="1"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</row>
    <row r="757" spans="3:28" ht="12.75" customHeight="1"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</row>
    <row r="758" spans="3:28" ht="12.75" customHeight="1"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</row>
    <row r="759" spans="3:28" ht="12.75" customHeight="1"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</row>
    <row r="760" spans="3:28" ht="12.75" customHeight="1"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</row>
    <row r="761" spans="3:28" ht="12.75" customHeight="1"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</row>
    <row r="762" spans="3:28" ht="12.75" customHeight="1"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</row>
    <row r="763" spans="3:28" ht="12.75" customHeight="1"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</row>
    <row r="764" spans="3:28" ht="12.75" customHeight="1"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</row>
    <row r="765" spans="3:28" ht="12.75" customHeight="1"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</row>
    <row r="766" spans="3:28" ht="12.75" customHeight="1"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</row>
    <row r="767" spans="3:28" ht="12.75" customHeight="1"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</row>
    <row r="768" spans="3:28" ht="12.75" customHeight="1"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</row>
    <row r="769" spans="3:28" ht="12.75" customHeight="1"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</row>
    <row r="770" spans="3:28" ht="12.75" customHeight="1"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</row>
    <row r="771" spans="3:28" ht="12.75" customHeight="1"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</row>
    <row r="772" spans="3:28" ht="12.75" customHeight="1"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</row>
    <row r="773" spans="3:28" ht="12.75" customHeight="1"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</row>
    <row r="774" spans="3:28" ht="12.75" customHeight="1"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</row>
    <row r="775" spans="3:28" ht="12.75" customHeight="1"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</row>
    <row r="776" spans="3:28" ht="12.75" customHeight="1"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</row>
    <row r="777" spans="3:28" ht="12.75" customHeight="1"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</row>
    <row r="778" spans="3:28" ht="12.75" customHeight="1"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</row>
    <row r="779" spans="3:28" ht="12.75" customHeight="1"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</row>
    <row r="780" spans="3:28" ht="12.75" customHeight="1"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</row>
    <row r="781" spans="3:28" ht="12.75" customHeight="1"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</row>
    <row r="782" spans="3:28" ht="12.75" customHeight="1"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</row>
    <row r="783" spans="3:28" ht="12.75" customHeight="1"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</row>
    <row r="784" spans="3:28" ht="12.75" customHeight="1"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</row>
    <row r="785" spans="3:28" ht="12.75" customHeight="1"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</row>
    <row r="786" spans="3:28" ht="12.75" customHeight="1"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</row>
    <row r="787" spans="3:28" ht="12.75" customHeight="1"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</row>
    <row r="788" spans="3:28" ht="12.75" customHeight="1"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</row>
    <row r="789" spans="3:28" ht="12.75" customHeight="1"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</row>
    <row r="790" spans="3:28" ht="12.75" customHeight="1"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</row>
    <row r="791" spans="3:28" ht="12.75" customHeight="1"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</row>
    <row r="792" spans="3:28" ht="12.75" customHeight="1"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</row>
    <row r="793" spans="3:28" ht="12.75" customHeight="1"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</row>
    <row r="794" spans="3:28" ht="12.75" customHeight="1"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</row>
    <row r="795" spans="3:28" ht="12.75" customHeight="1"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</row>
    <row r="796" spans="3:28" ht="12.75" customHeight="1"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</row>
    <row r="797" spans="3:28" ht="12.75" customHeight="1"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</row>
    <row r="798" spans="3:28" ht="12.75" customHeight="1"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</row>
    <row r="799" spans="3:28" ht="12.75" customHeight="1"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</row>
    <row r="800" spans="3:28" ht="12.75" customHeight="1"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</row>
    <row r="801" spans="3:28" ht="12.75" customHeight="1"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</row>
    <row r="802" spans="3:28" ht="12.75" customHeight="1"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</row>
    <row r="803" spans="3:28" ht="12.75" customHeight="1"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</row>
    <row r="804" spans="3:28" ht="12.75" customHeight="1"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</row>
    <row r="805" spans="3:28" ht="12.75" customHeight="1"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</row>
    <row r="806" spans="3:28" ht="12.75" customHeight="1"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</row>
    <row r="807" spans="3:28" ht="12.75" customHeight="1"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</row>
    <row r="808" spans="3:28" ht="12.75" customHeight="1"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</row>
    <row r="809" spans="3:28" ht="12.75" customHeight="1"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</row>
    <row r="810" spans="3:28" ht="12.75" customHeight="1"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</row>
    <row r="811" spans="3:28" ht="12.75" customHeight="1"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</row>
    <row r="812" spans="3:28" ht="12.75" customHeight="1"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</row>
    <row r="813" spans="3:28" ht="12.75" customHeight="1"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</row>
    <row r="814" spans="3:28" ht="12.75" customHeight="1"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</row>
    <row r="815" spans="3:28" ht="12.75" customHeight="1"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</row>
    <row r="816" spans="3:28" ht="12.75" customHeight="1"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</row>
    <row r="817" spans="3:28" ht="12.75" customHeight="1"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</row>
    <row r="818" spans="3:28" ht="12.75" customHeight="1"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</row>
    <row r="819" spans="3:28" ht="12.75" customHeight="1"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</row>
    <row r="820" spans="3:28" ht="12.75" customHeight="1"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</row>
    <row r="821" spans="3:28" ht="12.75" customHeight="1"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</row>
    <row r="822" spans="3:28" ht="12.75" customHeight="1"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</row>
    <row r="823" spans="3:28" ht="12.75" customHeight="1"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</row>
    <row r="824" spans="3:28" ht="12.75" customHeight="1"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</row>
    <row r="825" spans="3:28" ht="12.75" customHeight="1"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</row>
    <row r="826" spans="3:28" ht="12.75" customHeight="1"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</row>
    <row r="827" spans="3:28" ht="12.75" customHeight="1"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</row>
    <row r="828" spans="3:28" ht="12.75" customHeight="1"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</row>
    <row r="829" spans="3:28" ht="12.75" customHeight="1"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</row>
    <row r="830" spans="3:28" ht="12.75" customHeight="1"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</row>
    <row r="831" spans="3:28" ht="12.75" customHeight="1"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</row>
    <row r="832" spans="3:28" ht="12.75" customHeight="1"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</row>
    <row r="833" spans="3:28" ht="12.75" customHeight="1"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</row>
    <row r="834" spans="3:28" ht="12.75" customHeight="1"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</row>
    <row r="835" spans="3:28" ht="12.75" customHeight="1"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</row>
    <row r="836" spans="3:28" ht="12.75" customHeight="1"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</row>
    <row r="837" spans="3:28" ht="12.75" customHeight="1"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</row>
    <row r="838" spans="3:28" ht="12.75" customHeight="1"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</row>
    <row r="839" spans="3:28" ht="12.75" customHeight="1"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</row>
    <row r="840" spans="3:28" ht="12.75" customHeight="1"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</row>
    <row r="841" spans="3:28" ht="12.75" customHeight="1"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</row>
    <row r="842" spans="3:28" ht="12.75" customHeight="1"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</row>
    <row r="843" spans="3:28" ht="12.75" customHeight="1"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</row>
    <row r="844" spans="3:28" ht="12.75" customHeight="1"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</row>
    <row r="845" spans="3:28" ht="12.75" customHeight="1"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</row>
    <row r="846" spans="3:28" ht="12.75" customHeight="1"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</row>
    <row r="847" spans="3:28" ht="12.75" customHeight="1"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</row>
    <row r="848" spans="3:28" ht="12.75" customHeight="1"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</row>
    <row r="849" spans="3:28" ht="12.75" customHeight="1"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</row>
    <row r="850" spans="3:28" ht="12.75" customHeight="1"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</row>
    <row r="851" spans="3:28" ht="12.75" customHeight="1"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</row>
    <row r="852" spans="3:28" ht="12.75" customHeight="1"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</row>
    <row r="853" spans="3:28" ht="12.75" customHeight="1"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</row>
    <row r="854" spans="3:28" ht="12.75" customHeight="1"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</row>
    <row r="855" spans="3:28" ht="12.75" customHeight="1"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</row>
    <row r="856" spans="3:28" ht="12.75" customHeight="1"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</row>
    <row r="857" spans="3:28" ht="12.75" customHeight="1"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</row>
    <row r="858" spans="3:28" ht="12.75" customHeight="1"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</row>
    <row r="859" spans="3:28" ht="12.75" customHeight="1">
      <c r="C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</row>
    <row r="860" spans="3:28" ht="12.75" customHeight="1">
      <c r="C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</row>
    <row r="861" spans="3:28" ht="12.75" customHeight="1">
      <c r="C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</row>
    <row r="862" spans="3:28" ht="12.75" customHeight="1">
      <c r="C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</row>
    <row r="863" spans="3:28" ht="12.75" customHeight="1">
      <c r="C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</row>
    <row r="864" spans="3:28" ht="12.75" customHeight="1">
      <c r="C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</row>
    <row r="865" spans="3:28" ht="12.75" customHeight="1">
      <c r="C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</row>
    <row r="866" spans="3:28" ht="12.75" customHeight="1">
      <c r="C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</row>
    <row r="867" spans="3:28" ht="12.75" customHeight="1">
      <c r="C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</row>
    <row r="868" spans="3:28" ht="12.75" customHeight="1">
      <c r="C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</row>
    <row r="869" spans="3:28" ht="12.75" customHeight="1">
      <c r="C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</row>
    <row r="870" spans="3:28" ht="12.75" customHeight="1">
      <c r="C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</row>
    <row r="871" spans="3:28" ht="12.75" customHeight="1">
      <c r="C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</row>
    <row r="872" spans="3:28" ht="12.75" customHeight="1">
      <c r="C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</row>
    <row r="873" spans="3:28" ht="12.75" customHeight="1">
      <c r="C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</row>
    <row r="874" spans="3:28" ht="12.75" customHeight="1">
      <c r="C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</row>
    <row r="875" spans="3:28" ht="12.75" customHeight="1">
      <c r="C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</row>
    <row r="876" spans="3:28" ht="12.75" customHeight="1">
      <c r="C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</row>
    <row r="877" spans="3:28" ht="12.75" customHeight="1">
      <c r="C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</row>
    <row r="878" spans="3:28" ht="12.75" customHeight="1">
      <c r="C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</row>
    <row r="879" spans="3:28" ht="12.75" customHeight="1">
      <c r="C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</row>
    <row r="880" spans="3:28" ht="12.75" customHeight="1">
      <c r="C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</row>
    <row r="881" spans="3:28" ht="12.75" customHeight="1">
      <c r="C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</row>
    <row r="882" spans="3:28" ht="12.75" customHeight="1">
      <c r="C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</row>
    <row r="883" spans="3:28" ht="12.75" customHeight="1">
      <c r="C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</row>
    <row r="884" spans="3:28" ht="12.75" customHeight="1">
      <c r="C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</row>
    <row r="885" spans="3:28" ht="12.75" customHeight="1">
      <c r="C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</row>
    <row r="886" spans="3:28" ht="12.75" customHeight="1">
      <c r="C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</row>
    <row r="887" spans="3:28" ht="12.75" customHeight="1">
      <c r="C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</row>
    <row r="888" spans="3:28" ht="12.75" customHeight="1">
      <c r="C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</row>
    <row r="889" spans="3:28" ht="12.75" customHeight="1">
      <c r="C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</row>
    <row r="890" spans="3:28" ht="12.75" customHeight="1">
      <c r="C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</row>
    <row r="891" spans="3:28" ht="12.75" customHeight="1">
      <c r="C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</row>
    <row r="892" spans="3:28" ht="12.75" customHeight="1">
      <c r="C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</row>
    <row r="893" spans="3:28" ht="12.75" customHeight="1">
      <c r="C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</row>
    <row r="894" spans="3:28" ht="12.75" customHeight="1">
      <c r="C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</row>
    <row r="895" spans="3:28" ht="12.75" customHeight="1">
      <c r="C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</row>
    <row r="896" spans="3:28" ht="12.75" customHeight="1">
      <c r="C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</row>
    <row r="897" spans="3:28" ht="12.75" customHeight="1">
      <c r="C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</row>
    <row r="898" spans="3:28" ht="12.75" customHeight="1">
      <c r="C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</row>
    <row r="899" spans="3:28" ht="12.75" customHeight="1">
      <c r="C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</row>
    <row r="900" spans="3:28" ht="12.75" customHeight="1">
      <c r="C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</row>
    <row r="901" spans="3:28" ht="12.75" customHeight="1">
      <c r="C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</row>
    <row r="902" spans="3:28" ht="12.75" customHeight="1">
      <c r="C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</row>
    <row r="903" spans="3:28" ht="12.75" customHeight="1">
      <c r="C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</row>
    <row r="904" spans="3:28" ht="12.75" customHeight="1">
      <c r="C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</row>
    <row r="905" spans="3:28" ht="12.75" customHeight="1"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</row>
    <row r="906" spans="3:28" ht="12.75" customHeight="1"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</row>
    <row r="907" spans="3:28" ht="12.75" customHeight="1"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</row>
    <row r="908" spans="3:28" ht="12.75" customHeight="1"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</row>
    <row r="909" spans="3:28" ht="12.75" customHeight="1"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</row>
    <row r="910" spans="3:28" ht="12.75" customHeight="1"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</row>
    <row r="911" spans="3:28" ht="12.75" customHeight="1"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</row>
    <row r="912" spans="3:28" ht="12.75" customHeight="1"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</row>
    <row r="913" spans="7:28" ht="12.75" customHeight="1"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</row>
    <row r="914" spans="7:28" ht="12.75" customHeight="1"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</row>
    <row r="915" spans="7:28" ht="12.75" customHeight="1"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</row>
    <row r="916" spans="7:28" ht="12.75" customHeight="1"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</row>
    <row r="917" spans="7:28" ht="12.75" customHeight="1"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</row>
    <row r="918" spans="7:28" ht="12.75" customHeight="1"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</row>
    <row r="919" spans="7:28" ht="12.75" customHeight="1"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</row>
    <row r="920" spans="7:28" ht="12.75" customHeight="1"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</row>
    <row r="921" spans="7:28" ht="12.75" customHeight="1"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</row>
    <row r="922" spans="7:28" ht="12.75" customHeight="1"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</row>
    <row r="923" spans="7:28" ht="12.75" customHeight="1"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</row>
    <row r="924" spans="7:28" ht="12.75" customHeight="1"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</row>
    <row r="925" spans="7:28" ht="12.75" customHeight="1"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</row>
    <row r="926" spans="7:28" ht="12.75" customHeight="1"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</row>
    <row r="927" spans="7:28" ht="12.75" customHeight="1"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</row>
    <row r="928" spans="7:28" ht="12.75" customHeight="1"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</row>
    <row r="929" spans="7:28" ht="12.75" customHeight="1"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</row>
    <row r="930" spans="7:28" ht="12.75" customHeight="1"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</row>
    <row r="931" spans="7:28" ht="12.75" customHeight="1"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</row>
    <row r="932" spans="7:28" ht="12.75" customHeight="1"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</row>
    <row r="933" spans="7:28" ht="12.75" customHeight="1"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</row>
    <row r="934" spans="7:28" ht="12.75" customHeight="1"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</row>
    <row r="935" spans="7:28" ht="12.75" customHeight="1"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</row>
    <row r="936" spans="7:28" ht="12.75" customHeight="1"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</row>
    <row r="937" spans="7:28" ht="12.75" customHeight="1"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</row>
    <row r="938" spans="7:28" ht="12.75" customHeight="1"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</row>
    <row r="939" spans="7:28" ht="12.75" customHeight="1"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</row>
    <row r="940" spans="7:28" ht="12.75" customHeight="1"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</row>
    <row r="941" spans="7:28" ht="12.75" customHeight="1"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</row>
    <row r="942" spans="7:28" ht="12.75" customHeight="1"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</row>
    <row r="943" spans="7:28" ht="12.75" customHeight="1"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</row>
    <row r="944" spans="7:28" ht="12.75" customHeight="1"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</row>
    <row r="945" spans="7:28" ht="12.75" customHeight="1"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</row>
    <row r="946" spans="7:28" ht="12.75" customHeight="1"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</row>
    <row r="947" spans="7:28" ht="12.75" customHeight="1"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</row>
    <row r="948" spans="7:28" ht="12.75" customHeight="1"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</row>
    <row r="949" spans="7:28" ht="12.75" customHeight="1"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</row>
    <row r="950" spans="7:28" ht="12.75" customHeight="1"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</row>
    <row r="951" spans="7:28" ht="12.75" customHeight="1"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</row>
    <row r="952" spans="7:28" ht="12.75" customHeight="1"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</row>
    <row r="953" spans="7:28" ht="12.75" customHeight="1"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</row>
    <row r="954" spans="7:28" ht="12.75" customHeight="1"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</row>
    <row r="955" spans="7:28" ht="12.75" customHeight="1"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</row>
    <row r="956" spans="7:28" ht="12.75" customHeight="1"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</row>
    <row r="957" spans="7:28" ht="12.75" customHeight="1"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</row>
    <row r="958" spans="7:28" ht="12.75" customHeight="1"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</row>
    <row r="959" spans="7:28" ht="12.75" customHeight="1"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</row>
    <row r="960" spans="7:28" ht="12.75" customHeight="1"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</row>
    <row r="961" spans="7:28" ht="12.75" customHeight="1"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</row>
    <row r="962" spans="7:28" ht="12.75" customHeight="1"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</row>
    <row r="963" spans="7:28" ht="12.75" customHeight="1"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</row>
    <row r="964" spans="7:28" ht="12.75" customHeight="1"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</row>
    <row r="965" spans="7:28" ht="12.75" customHeight="1"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</row>
    <row r="966" spans="7:28" ht="12.75" customHeight="1"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</row>
    <row r="967" spans="7:28" ht="12.75" customHeight="1"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</row>
    <row r="968" spans="7:28" ht="12.75" customHeight="1"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</row>
    <row r="969" spans="7:28" ht="12.75" customHeight="1"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</row>
    <row r="970" spans="7:28" ht="12.75" customHeight="1"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</row>
    <row r="971" spans="7:28" ht="12.75" customHeight="1"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</row>
    <row r="972" spans="7:28" ht="12.75" customHeight="1"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</row>
    <row r="973" spans="7:28" ht="12.75" customHeight="1"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</row>
    <row r="974" spans="7:28" ht="12.75" customHeight="1"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</row>
    <row r="975" spans="7:28" ht="12.75" customHeight="1"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</row>
    <row r="976" spans="7:28" ht="12.75" customHeight="1"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</row>
    <row r="977" spans="7:28" ht="12.75" customHeight="1"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</row>
    <row r="978" spans="7:28" ht="12.75" customHeight="1"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</row>
    <row r="979" spans="7:28" ht="12.75" customHeight="1"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</row>
    <row r="980" spans="7:28" ht="12.75" customHeight="1"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</row>
    <row r="981" spans="7:28" ht="12.75" customHeight="1"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</row>
    <row r="982" spans="7:28" ht="12.75" customHeight="1"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</row>
    <row r="983" spans="7:28" ht="12.75" customHeight="1"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</row>
    <row r="984" spans="7:28" ht="12.75" customHeight="1"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</row>
    <row r="985" spans="7:28" ht="12.75" customHeight="1"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</row>
    <row r="986" spans="7:28" ht="12.75" customHeight="1"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</row>
    <row r="987" spans="7:28" ht="12.75" customHeight="1"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</row>
    <row r="988" spans="7:28" ht="12.75" customHeight="1"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</row>
    <row r="989" spans="7:28" ht="12.75" customHeight="1"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</row>
    <row r="990" spans="7:28" ht="12.75" customHeight="1"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</row>
    <row r="991" spans="7:28" ht="12.75" customHeight="1"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</row>
    <row r="992" spans="7:28" ht="12.75" customHeight="1"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</row>
    <row r="993" spans="7:28" ht="12.75" customHeight="1"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</row>
    <row r="994" spans="7:28" ht="12.75" customHeight="1"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</row>
    <row r="995" spans="7:28" ht="12.75" customHeight="1"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</row>
    <row r="996" spans="7:28" ht="12.75" customHeight="1"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</row>
    <row r="997" spans="7:28" ht="12.75" customHeight="1"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</row>
    <row r="998" spans="7:28" ht="12.75" customHeight="1"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</row>
    <row r="999" spans="7:28" ht="12.75" customHeight="1"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</row>
    <row r="1000" spans="7:28" ht="12.75" customHeight="1"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</row>
    <row r="1001" spans="7:28" ht="12.75" customHeight="1"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</row>
    <row r="1002" spans="7:28" ht="12.75" customHeight="1"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</row>
    <row r="1003" spans="7:28" ht="12.75" customHeight="1"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  <c r="Z1003" s="37"/>
      <c r="AA1003" s="37"/>
      <c r="AB1003" s="37"/>
    </row>
    <row r="1004" spans="7:28" ht="12.75" customHeight="1">
      <c r="G1004" s="37"/>
      <c r="H1004" s="37"/>
      <c r="I1004" s="37"/>
      <c r="J1004" s="37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  <c r="W1004" s="37"/>
      <c r="X1004" s="37"/>
      <c r="Y1004" s="37"/>
      <c r="Z1004" s="37"/>
      <c r="AA1004" s="37"/>
      <c r="AB1004" s="37"/>
    </row>
    <row r="1005" spans="7:28" ht="12.75" customHeight="1">
      <c r="G1005" s="37"/>
      <c r="H1005" s="37"/>
      <c r="I1005" s="37"/>
      <c r="J1005" s="37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  <c r="W1005" s="37"/>
      <c r="X1005" s="37"/>
      <c r="Y1005" s="37"/>
      <c r="Z1005" s="37"/>
      <c r="AA1005" s="37"/>
      <c r="AB1005" s="37"/>
    </row>
    <row r="1006" spans="7:28" ht="12.75" customHeight="1">
      <c r="G1006" s="37"/>
      <c r="H1006" s="37"/>
      <c r="I1006" s="37"/>
      <c r="J1006" s="37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  <c r="W1006" s="37"/>
      <c r="X1006" s="37"/>
      <c r="Y1006" s="37"/>
      <c r="Z1006" s="37"/>
      <c r="AA1006" s="37"/>
      <c r="AB1006" s="37"/>
    </row>
    <row r="1007" spans="7:28" ht="12.75" customHeight="1">
      <c r="G1007" s="37"/>
      <c r="H1007" s="37"/>
      <c r="I1007" s="37"/>
      <c r="J1007" s="37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  <c r="W1007" s="37"/>
      <c r="X1007" s="37"/>
      <c r="Y1007" s="37"/>
      <c r="Z1007" s="37"/>
      <c r="AA1007" s="37"/>
      <c r="AB1007" s="37"/>
    </row>
    <row r="1008" spans="7:28" ht="12.75" customHeight="1">
      <c r="G1008" s="37"/>
      <c r="H1008" s="37"/>
      <c r="I1008" s="37"/>
      <c r="J1008" s="37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  <c r="W1008" s="37"/>
      <c r="X1008" s="37"/>
      <c r="Y1008" s="37"/>
      <c r="Z1008" s="37"/>
      <c r="AA1008" s="37"/>
      <c r="AB1008" s="37"/>
    </row>
    <row r="1009" spans="7:28" ht="12.75" customHeight="1">
      <c r="G1009" s="37"/>
      <c r="H1009" s="37"/>
      <c r="I1009" s="37"/>
      <c r="J1009" s="37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  <c r="W1009" s="37"/>
      <c r="X1009" s="37"/>
      <c r="Y1009" s="37"/>
      <c r="Z1009" s="37"/>
      <c r="AA1009" s="37"/>
      <c r="AB1009" s="37"/>
    </row>
    <row r="1010" spans="7:28" ht="12.75" customHeight="1">
      <c r="G1010" s="37"/>
      <c r="H1010" s="37"/>
      <c r="I1010" s="37"/>
      <c r="J1010" s="37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  <c r="W1010" s="37"/>
      <c r="X1010" s="37"/>
      <c r="Y1010" s="37"/>
      <c r="Z1010" s="37"/>
      <c r="AA1010" s="37"/>
      <c r="AB1010" s="37"/>
    </row>
    <row r="1011" spans="7:28" ht="12.75" customHeight="1">
      <c r="G1011" s="37"/>
      <c r="H1011" s="37"/>
      <c r="I1011" s="37"/>
      <c r="J1011" s="37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  <c r="W1011" s="37"/>
      <c r="X1011" s="37"/>
      <c r="Y1011" s="37"/>
      <c r="Z1011" s="37"/>
      <c r="AA1011" s="37"/>
      <c r="AB1011" s="37"/>
    </row>
    <row r="1012" spans="7:28" ht="12.75" customHeight="1">
      <c r="G1012" s="37"/>
      <c r="H1012" s="37"/>
      <c r="I1012" s="37"/>
      <c r="J1012" s="37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37"/>
      <c r="AA1012" s="37"/>
      <c r="AB1012" s="37"/>
    </row>
    <row r="1013" spans="7:28" ht="12.75" customHeight="1">
      <c r="G1013" s="37"/>
      <c r="H1013" s="37"/>
      <c r="I1013" s="37"/>
      <c r="J1013" s="37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  <c r="W1013" s="37"/>
      <c r="X1013" s="37"/>
      <c r="Y1013" s="37"/>
      <c r="Z1013" s="37"/>
      <c r="AA1013" s="37"/>
      <c r="AB1013" s="37"/>
    </row>
    <row r="1014" spans="7:28" ht="12.75" customHeight="1">
      <c r="G1014" s="37"/>
      <c r="H1014" s="37"/>
      <c r="I1014" s="37"/>
      <c r="J1014" s="37"/>
      <c r="K1014" s="37"/>
      <c r="L1014" s="37"/>
      <c r="M1014" s="37"/>
      <c r="N1014" s="37"/>
      <c r="O1014" s="37"/>
      <c r="P1014" s="37"/>
      <c r="Q1014" s="37"/>
      <c r="R1014" s="37"/>
      <c r="S1014" s="37"/>
      <c r="T1014" s="37"/>
      <c r="U1014" s="37"/>
      <c r="V1014" s="37"/>
      <c r="W1014" s="37"/>
      <c r="X1014" s="37"/>
      <c r="Y1014" s="37"/>
      <c r="Z1014" s="37"/>
      <c r="AA1014" s="37"/>
      <c r="AB1014" s="37"/>
    </row>
    <row r="1015" spans="7:28" ht="12.75" customHeight="1">
      <c r="G1015" s="37"/>
      <c r="H1015" s="37"/>
      <c r="I1015" s="37"/>
      <c r="J1015" s="37"/>
      <c r="K1015" s="37"/>
      <c r="L1015" s="37"/>
      <c r="M1015" s="37"/>
      <c r="N1015" s="37"/>
      <c r="O1015" s="37"/>
      <c r="P1015" s="37"/>
      <c r="Q1015" s="37"/>
      <c r="R1015" s="37"/>
      <c r="S1015" s="37"/>
      <c r="T1015" s="37"/>
      <c r="U1015" s="37"/>
      <c r="V1015" s="37"/>
      <c r="W1015" s="37"/>
      <c r="X1015" s="37"/>
      <c r="Y1015" s="37"/>
      <c r="Z1015" s="37"/>
      <c r="AA1015" s="37"/>
      <c r="AB1015" s="37"/>
    </row>
    <row r="1016" spans="7:28" ht="12.75" customHeight="1">
      <c r="G1016" s="37"/>
      <c r="H1016" s="37"/>
      <c r="I1016" s="37"/>
      <c r="J1016" s="37"/>
      <c r="K1016" s="37"/>
      <c r="L1016" s="37"/>
      <c r="M1016" s="37"/>
      <c r="N1016" s="37"/>
      <c r="O1016" s="37"/>
      <c r="P1016" s="37"/>
      <c r="Q1016" s="37"/>
      <c r="R1016" s="37"/>
      <c r="S1016" s="37"/>
      <c r="T1016" s="37"/>
      <c r="U1016" s="37"/>
      <c r="V1016" s="37"/>
      <c r="W1016" s="37"/>
      <c r="X1016" s="37"/>
      <c r="Y1016" s="37"/>
      <c r="Z1016" s="37"/>
      <c r="AA1016" s="37"/>
      <c r="AB1016" s="37"/>
    </row>
    <row r="1017" spans="7:28" ht="12.75" customHeight="1">
      <c r="G1017" s="37"/>
      <c r="H1017" s="37"/>
      <c r="I1017" s="37"/>
      <c r="J1017" s="37"/>
      <c r="K1017" s="37"/>
      <c r="L1017" s="37"/>
      <c r="M1017" s="37"/>
      <c r="N1017" s="37"/>
      <c r="O1017" s="37"/>
      <c r="P1017" s="37"/>
      <c r="Q1017" s="37"/>
      <c r="R1017" s="37"/>
      <c r="S1017" s="37"/>
      <c r="T1017" s="37"/>
      <c r="U1017" s="37"/>
      <c r="V1017" s="37"/>
      <c r="W1017" s="37"/>
      <c r="X1017" s="37"/>
      <c r="Y1017" s="37"/>
      <c r="Z1017" s="37"/>
      <c r="AA1017" s="37"/>
      <c r="AB1017" s="37"/>
    </row>
    <row r="1018" spans="7:28" ht="12.75" customHeight="1">
      <c r="G1018" s="37"/>
      <c r="H1018" s="37"/>
      <c r="I1018" s="37"/>
      <c r="J1018" s="37"/>
      <c r="K1018" s="37"/>
      <c r="L1018" s="37"/>
      <c r="M1018" s="37"/>
      <c r="N1018" s="37"/>
      <c r="O1018" s="37"/>
      <c r="P1018" s="37"/>
      <c r="Q1018" s="37"/>
      <c r="R1018" s="37"/>
      <c r="S1018" s="37"/>
      <c r="T1018" s="37"/>
      <c r="U1018" s="37"/>
      <c r="V1018" s="37"/>
      <c r="W1018" s="37"/>
      <c r="X1018" s="37"/>
      <c r="Y1018" s="37"/>
      <c r="Z1018" s="37"/>
      <c r="AA1018" s="37"/>
      <c r="AB1018" s="37"/>
    </row>
    <row r="1019" spans="7:28" ht="12.75" customHeight="1">
      <c r="G1019" s="37"/>
      <c r="H1019" s="37"/>
      <c r="I1019" s="37"/>
      <c r="J1019" s="37"/>
      <c r="K1019" s="37"/>
      <c r="L1019" s="37"/>
      <c r="M1019" s="37"/>
      <c r="N1019" s="37"/>
      <c r="O1019" s="37"/>
      <c r="P1019" s="37"/>
      <c r="Q1019" s="37"/>
      <c r="R1019" s="37"/>
      <c r="S1019" s="37"/>
      <c r="T1019" s="37"/>
      <c r="U1019" s="37"/>
      <c r="V1019" s="37"/>
      <c r="W1019" s="37"/>
      <c r="X1019" s="37"/>
      <c r="Y1019" s="37"/>
      <c r="Z1019" s="37"/>
      <c r="AA1019" s="37"/>
      <c r="AB1019" s="37"/>
    </row>
    <row r="1020" spans="7:28" ht="12.75" customHeight="1">
      <c r="G1020" s="37"/>
      <c r="H1020" s="37"/>
      <c r="I1020" s="37"/>
      <c r="J1020" s="37"/>
      <c r="K1020" s="37"/>
      <c r="L1020" s="37"/>
      <c r="M1020" s="37"/>
      <c r="N1020" s="37"/>
      <c r="O1020" s="37"/>
      <c r="P1020" s="37"/>
      <c r="Q1020" s="37"/>
      <c r="R1020" s="37"/>
      <c r="S1020" s="37"/>
      <c r="T1020" s="37"/>
      <c r="U1020" s="37"/>
      <c r="V1020" s="37"/>
      <c r="W1020" s="37"/>
      <c r="X1020" s="37"/>
      <c r="Y1020" s="37"/>
      <c r="Z1020" s="37"/>
      <c r="AA1020" s="37"/>
      <c r="AB1020" s="37"/>
    </row>
    <row r="1021" spans="7:28" ht="12.75" customHeight="1">
      <c r="G1021" s="37"/>
      <c r="H1021" s="37"/>
      <c r="I1021" s="37"/>
      <c r="J1021" s="37"/>
      <c r="K1021" s="37"/>
      <c r="L1021" s="37"/>
      <c r="M1021" s="37"/>
      <c r="N1021" s="37"/>
      <c r="O1021" s="37"/>
      <c r="P1021" s="37"/>
      <c r="Q1021" s="37"/>
      <c r="R1021" s="37"/>
      <c r="S1021" s="37"/>
      <c r="T1021" s="37"/>
      <c r="U1021" s="37"/>
      <c r="V1021" s="37"/>
      <c r="W1021" s="37"/>
      <c r="X1021" s="37"/>
      <c r="Y1021" s="37"/>
      <c r="Z1021" s="37"/>
      <c r="AA1021" s="37"/>
      <c r="AB1021" s="37"/>
    </row>
    <row r="1022" spans="7:28" ht="12.75" customHeight="1">
      <c r="G1022" s="37"/>
      <c r="H1022" s="37"/>
      <c r="I1022" s="37"/>
      <c r="J1022" s="37"/>
      <c r="K1022" s="37"/>
      <c r="L1022" s="37"/>
      <c r="M1022" s="37"/>
      <c r="N1022" s="37"/>
      <c r="O1022" s="37"/>
      <c r="P1022" s="37"/>
      <c r="Q1022" s="37"/>
      <c r="R1022" s="37"/>
      <c r="S1022" s="37"/>
      <c r="T1022" s="37"/>
      <c r="U1022" s="37"/>
      <c r="V1022" s="37"/>
      <c r="W1022" s="37"/>
      <c r="X1022" s="37"/>
      <c r="Y1022" s="37"/>
      <c r="Z1022" s="37"/>
      <c r="AA1022" s="37"/>
      <c r="AB1022" s="37"/>
    </row>
    <row r="1023" spans="7:28" ht="12.75" customHeight="1">
      <c r="G1023" s="37"/>
      <c r="H1023" s="37"/>
      <c r="I1023" s="37"/>
      <c r="J1023" s="37"/>
      <c r="K1023" s="37"/>
      <c r="L1023" s="37"/>
      <c r="M1023" s="37"/>
      <c r="N1023" s="37"/>
      <c r="O1023" s="37"/>
      <c r="P1023" s="37"/>
      <c r="Q1023" s="37"/>
      <c r="R1023" s="37"/>
      <c r="S1023" s="37"/>
      <c r="T1023" s="37"/>
      <c r="U1023" s="37"/>
      <c r="V1023" s="37"/>
      <c r="W1023" s="37"/>
      <c r="X1023" s="37"/>
      <c r="Y1023" s="37"/>
      <c r="Z1023" s="37"/>
      <c r="AA1023" s="37"/>
      <c r="AB1023" s="37"/>
    </row>
    <row r="1024" spans="7:28" ht="12.75" customHeight="1">
      <c r="G1024" s="37"/>
      <c r="H1024" s="37"/>
      <c r="I1024" s="37"/>
      <c r="J1024" s="37"/>
      <c r="K1024" s="37"/>
      <c r="L1024" s="37"/>
      <c r="M1024" s="37"/>
      <c r="N1024" s="37"/>
      <c r="O1024" s="37"/>
      <c r="P1024" s="37"/>
      <c r="Q1024" s="37"/>
      <c r="R1024" s="37"/>
      <c r="S1024" s="37"/>
      <c r="T1024" s="37"/>
      <c r="U1024" s="37"/>
      <c r="V1024" s="37"/>
      <c r="W1024" s="37"/>
      <c r="X1024" s="37"/>
      <c r="Y1024" s="37"/>
      <c r="Z1024" s="37"/>
      <c r="AA1024" s="37"/>
      <c r="AB1024" s="37"/>
    </row>
    <row r="1025" spans="7:28" ht="12.75" customHeight="1">
      <c r="G1025" s="37"/>
      <c r="H1025" s="37"/>
      <c r="I1025" s="37"/>
      <c r="J1025" s="37"/>
      <c r="K1025" s="37"/>
      <c r="L1025" s="37"/>
      <c r="M1025" s="37"/>
      <c r="N1025" s="37"/>
      <c r="O1025" s="37"/>
      <c r="P1025" s="37"/>
      <c r="Q1025" s="37"/>
      <c r="R1025" s="37"/>
      <c r="S1025" s="37"/>
      <c r="T1025" s="37"/>
      <c r="U1025" s="37"/>
      <c r="V1025" s="37"/>
      <c r="W1025" s="37"/>
      <c r="X1025" s="37"/>
      <c r="Y1025" s="37"/>
      <c r="Z1025" s="37"/>
      <c r="AA1025" s="37"/>
      <c r="AB1025" s="37"/>
    </row>
    <row r="1026" spans="7:28" ht="12.75" customHeight="1">
      <c r="G1026" s="37"/>
      <c r="H1026" s="37"/>
      <c r="I1026" s="37"/>
      <c r="J1026" s="37"/>
      <c r="K1026" s="37"/>
      <c r="L1026" s="37"/>
      <c r="M1026" s="37"/>
      <c r="N1026" s="37"/>
      <c r="O1026" s="37"/>
      <c r="P1026" s="37"/>
      <c r="Q1026" s="37"/>
      <c r="R1026" s="37"/>
      <c r="S1026" s="37"/>
      <c r="T1026" s="37"/>
      <c r="U1026" s="37"/>
      <c r="V1026" s="37"/>
      <c r="W1026" s="37"/>
      <c r="X1026" s="37"/>
      <c r="Y1026" s="37"/>
      <c r="Z1026" s="37"/>
      <c r="AA1026" s="37"/>
      <c r="AB1026" s="37"/>
    </row>
    <row r="1027" spans="7:28" ht="12.75" customHeight="1">
      <c r="G1027" s="37"/>
      <c r="H1027" s="37"/>
      <c r="I1027" s="37"/>
      <c r="J1027" s="37"/>
      <c r="K1027" s="37"/>
      <c r="L1027" s="37"/>
      <c r="M1027" s="37"/>
      <c r="N1027" s="37"/>
      <c r="O1027" s="37"/>
      <c r="P1027" s="37"/>
      <c r="Q1027" s="37"/>
      <c r="R1027" s="37"/>
      <c r="S1027" s="37"/>
      <c r="T1027" s="37"/>
      <c r="U1027" s="37"/>
      <c r="V1027" s="37"/>
      <c r="W1027" s="37"/>
      <c r="X1027" s="37"/>
      <c r="Y1027" s="37"/>
      <c r="Z1027" s="37"/>
      <c r="AA1027" s="37"/>
      <c r="AB1027" s="37"/>
    </row>
    <row r="1028" spans="7:28" ht="12.75" customHeight="1">
      <c r="G1028" s="37"/>
      <c r="H1028" s="37"/>
      <c r="I1028" s="37"/>
      <c r="J1028" s="37"/>
      <c r="K1028" s="37"/>
      <c r="L1028" s="37"/>
      <c r="M1028" s="37"/>
      <c r="N1028" s="37"/>
      <c r="O1028" s="37"/>
      <c r="P1028" s="37"/>
      <c r="Q1028" s="37"/>
      <c r="R1028" s="37"/>
      <c r="S1028" s="37"/>
      <c r="T1028" s="37"/>
      <c r="U1028" s="37"/>
      <c r="V1028" s="37"/>
      <c r="W1028" s="37"/>
      <c r="X1028" s="37"/>
      <c r="Y1028" s="37"/>
      <c r="Z1028" s="37"/>
      <c r="AA1028" s="37"/>
      <c r="AB1028" s="37"/>
    </row>
    <row r="1029" spans="7:28" ht="12.75" customHeight="1">
      <c r="G1029" s="37"/>
      <c r="H1029" s="37"/>
      <c r="I1029" s="37"/>
      <c r="J1029" s="37"/>
      <c r="K1029" s="37"/>
      <c r="L1029" s="37"/>
      <c r="M1029" s="37"/>
      <c r="N1029" s="37"/>
      <c r="O1029" s="37"/>
      <c r="P1029" s="37"/>
      <c r="Q1029" s="37"/>
      <c r="R1029" s="37"/>
      <c r="S1029" s="37"/>
      <c r="T1029" s="37"/>
      <c r="U1029" s="37"/>
      <c r="V1029" s="37"/>
      <c r="W1029" s="37"/>
      <c r="X1029" s="37"/>
      <c r="Y1029" s="37"/>
      <c r="Z1029" s="37"/>
      <c r="AA1029" s="37"/>
      <c r="AB1029" s="37"/>
    </row>
    <row r="1030" spans="7:28" ht="12.75" customHeight="1">
      <c r="G1030" s="37"/>
      <c r="H1030" s="37"/>
      <c r="I1030" s="37"/>
      <c r="J1030" s="37"/>
      <c r="K1030" s="37"/>
      <c r="L1030" s="37"/>
      <c r="M1030" s="37"/>
      <c r="N1030" s="37"/>
      <c r="O1030" s="37"/>
      <c r="P1030" s="37"/>
      <c r="Q1030" s="37"/>
      <c r="R1030" s="37"/>
      <c r="S1030" s="37"/>
      <c r="T1030" s="37"/>
      <c r="U1030" s="37"/>
      <c r="V1030" s="37"/>
      <c r="W1030" s="37"/>
      <c r="X1030" s="37"/>
      <c r="Y1030" s="37"/>
      <c r="Z1030" s="37"/>
      <c r="AA1030" s="37"/>
      <c r="AB1030" s="37"/>
    </row>
    <row r="1031" spans="7:28" ht="12.75" customHeight="1">
      <c r="G1031" s="37"/>
      <c r="H1031" s="37"/>
      <c r="I1031" s="37"/>
      <c r="J1031" s="37"/>
      <c r="K1031" s="37"/>
      <c r="L1031" s="37"/>
      <c r="M1031" s="37"/>
      <c r="N1031" s="37"/>
      <c r="O1031" s="37"/>
      <c r="P1031" s="37"/>
      <c r="Q1031" s="37"/>
      <c r="R1031" s="37"/>
      <c r="S1031" s="37"/>
      <c r="T1031" s="37"/>
      <c r="U1031" s="37"/>
      <c r="V1031" s="37"/>
      <c r="W1031" s="37"/>
      <c r="X1031" s="37"/>
      <c r="Y1031" s="37"/>
      <c r="Z1031" s="37"/>
      <c r="AA1031" s="37"/>
      <c r="AB1031" s="37"/>
    </row>
    <row r="1032" spans="7:28" ht="12.75" customHeight="1">
      <c r="G1032" s="37"/>
      <c r="H1032" s="37"/>
      <c r="I1032" s="37"/>
      <c r="J1032" s="37"/>
      <c r="K1032" s="37"/>
      <c r="L1032" s="37"/>
      <c r="M1032" s="37"/>
      <c r="N1032" s="37"/>
      <c r="O1032" s="37"/>
      <c r="P1032" s="37"/>
      <c r="Q1032" s="37"/>
      <c r="R1032" s="37"/>
      <c r="S1032" s="37"/>
      <c r="T1032" s="37"/>
      <c r="U1032" s="37"/>
      <c r="V1032" s="37"/>
      <c r="W1032" s="37"/>
      <c r="X1032" s="37"/>
      <c r="Y1032" s="37"/>
      <c r="Z1032" s="37"/>
      <c r="AA1032" s="37"/>
      <c r="AB1032" s="37"/>
    </row>
    <row r="1033" spans="7:28" ht="12.75" customHeight="1">
      <c r="G1033" s="37"/>
      <c r="H1033" s="37"/>
      <c r="I1033" s="37"/>
      <c r="J1033" s="37"/>
      <c r="K1033" s="37"/>
      <c r="L1033" s="37"/>
      <c r="M1033" s="37"/>
      <c r="N1033" s="37"/>
      <c r="O1033" s="37"/>
      <c r="P1033" s="37"/>
      <c r="Q1033" s="37"/>
      <c r="R1033" s="37"/>
      <c r="S1033" s="37"/>
      <c r="T1033" s="37"/>
      <c r="U1033" s="37"/>
      <c r="V1033" s="37"/>
      <c r="W1033" s="37"/>
      <c r="X1033" s="37"/>
      <c r="Y1033" s="37"/>
      <c r="Z1033" s="37"/>
      <c r="AA1033" s="37"/>
      <c r="AB1033" s="37"/>
    </row>
    <row r="1034" spans="7:28" ht="12.75" customHeight="1">
      <c r="G1034" s="37"/>
      <c r="H1034" s="37"/>
      <c r="I1034" s="37"/>
      <c r="J1034" s="37"/>
      <c r="K1034" s="37"/>
      <c r="L1034" s="37"/>
      <c r="M1034" s="37"/>
      <c r="N1034" s="37"/>
      <c r="O1034" s="37"/>
      <c r="P1034" s="37"/>
      <c r="Q1034" s="37"/>
      <c r="R1034" s="37"/>
      <c r="S1034" s="37"/>
      <c r="T1034" s="37"/>
      <c r="U1034" s="37"/>
      <c r="V1034" s="37"/>
      <c r="W1034" s="37"/>
      <c r="X1034" s="37"/>
      <c r="Y1034" s="37"/>
      <c r="Z1034" s="37"/>
      <c r="AA1034" s="37"/>
      <c r="AB1034" s="37"/>
    </row>
    <row r="1035" spans="7:28" ht="12.75" customHeight="1">
      <c r="G1035" s="37"/>
      <c r="H1035" s="37"/>
      <c r="I1035" s="37"/>
      <c r="J1035" s="37"/>
      <c r="K1035" s="37"/>
      <c r="L1035" s="37"/>
      <c r="M1035" s="37"/>
      <c r="N1035" s="37"/>
      <c r="O1035" s="37"/>
      <c r="P1035" s="37"/>
      <c r="Q1035" s="37"/>
      <c r="R1035" s="37"/>
      <c r="S1035" s="37"/>
      <c r="T1035" s="37"/>
      <c r="U1035" s="37"/>
      <c r="V1035" s="37"/>
      <c r="W1035" s="37"/>
      <c r="X1035" s="37"/>
      <c r="Y1035" s="37"/>
      <c r="Z1035" s="37"/>
      <c r="AA1035" s="37"/>
      <c r="AB1035" s="37"/>
    </row>
    <row r="1036" spans="7:28" ht="12.75" customHeight="1">
      <c r="G1036" s="37"/>
      <c r="H1036" s="37"/>
      <c r="I1036" s="37"/>
      <c r="J1036" s="37"/>
      <c r="K1036" s="37"/>
      <c r="L1036" s="37"/>
      <c r="M1036" s="37"/>
      <c r="N1036" s="37"/>
      <c r="O1036" s="37"/>
      <c r="P1036" s="37"/>
      <c r="Q1036" s="37"/>
      <c r="R1036" s="37"/>
      <c r="S1036" s="37"/>
      <c r="T1036" s="37"/>
      <c r="U1036" s="37"/>
      <c r="V1036" s="37"/>
      <c r="W1036" s="37"/>
      <c r="X1036" s="37"/>
      <c r="Y1036" s="37"/>
      <c r="Z1036" s="37"/>
      <c r="AA1036" s="37"/>
      <c r="AB1036" s="37"/>
    </row>
    <row r="1037" spans="7:28" ht="12.75" customHeight="1">
      <c r="G1037" s="37"/>
      <c r="H1037" s="37"/>
      <c r="I1037" s="37"/>
      <c r="J1037" s="37"/>
      <c r="K1037" s="37"/>
      <c r="L1037" s="37"/>
      <c r="M1037" s="37"/>
      <c r="N1037" s="37"/>
      <c r="O1037" s="37"/>
      <c r="P1037" s="37"/>
      <c r="Q1037" s="37"/>
      <c r="R1037" s="37"/>
      <c r="S1037" s="37"/>
      <c r="T1037" s="37"/>
      <c r="U1037" s="37"/>
      <c r="V1037" s="37"/>
      <c r="W1037" s="37"/>
      <c r="X1037" s="37"/>
      <c r="Y1037" s="37"/>
      <c r="Z1037" s="37"/>
      <c r="AA1037" s="37"/>
      <c r="AB1037" s="37"/>
    </row>
    <row r="1038" spans="7:28" ht="12.75" customHeight="1">
      <c r="G1038" s="37"/>
      <c r="H1038" s="37"/>
      <c r="I1038" s="37"/>
      <c r="J1038" s="37"/>
      <c r="K1038" s="37"/>
      <c r="L1038" s="37"/>
      <c r="M1038" s="37"/>
      <c r="N1038" s="37"/>
      <c r="O1038" s="37"/>
      <c r="P1038" s="37"/>
      <c r="Q1038" s="37"/>
      <c r="R1038" s="37"/>
      <c r="S1038" s="37"/>
      <c r="T1038" s="37"/>
      <c r="U1038" s="37"/>
      <c r="V1038" s="37"/>
      <c r="W1038" s="37"/>
      <c r="X1038" s="37"/>
      <c r="Y1038" s="37"/>
      <c r="Z1038" s="37"/>
      <c r="AA1038" s="37"/>
      <c r="AB1038" s="37"/>
    </row>
    <row r="1039" spans="7:28" ht="12.75" customHeight="1">
      <c r="G1039" s="37"/>
      <c r="H1039" s="37"/>
      <c r="I1039" s="37"/>
      <c r="J1039" s="37"/>
      <c r="K1039" s="37"/>
      <c r="L1039" s="37"/>
      <c r="M1039" s="37"/>
      <c r="N1039" s="37"/>
      <c r="O1039" s="37"/>
      <c r="P1039" s="37"/>
      <c r="Q1039" s="37"/>
      <c r="R1039" s="37"/>
      <c r="S1039" s="37"/>
      <c r="T1039" s="37"/>
      <c r="U1039" s="37"/>
      <c r="V1039" s="37"/>
      <c r="W1039" s="37"/>
      <c r="X1039" s="37"/>
      <c r="Y1039" s="37"/>
      <c r="Z1039" s="37"/>
      <c r="AA1039" s="37"/>
      <c r="AB1039" s="37"/>
    </row>
    <row r="1040" spans="7:28" ht="12.75" customHeight="1"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7:28" ht="12.75" customHeight="1">
      <c r="G1041" s="37"/>
      <c r="H1041" s="37"/>
      <c r="I1041" s="37"/>
      <c r="J1041" s="37"/>
      <c r="K1041" s="37"/>
      <c r="L1041" s="37"/>
      <c r="M1041" s="37"/>
      <c r="N1041" s="37"/>
      <c r="O1041" s="37"/>
      <c r="P1041" s="37"/>
      <c r="Q1041" s="37"/>
      <c r="R1041" s="37"/>
      <c r="S1041" s="37"/>
      <c r="T1041" s="37"/>
      <c r="U1041" s="37"/>
      <c r="V1041" s="37"/>
      <c r="W1041" s="37"/>
      <c r="X1041" s="37"/>
      <c r="Y1041" s="37"/>
      <c r="Z1041" s="37"/>
      <c r="AA1041" s="37"/>
      <c r="AB1041" s="37"/>
    </row>
    <row r="1042" spans="7:28" ht="12.75" customHeight="1">
      <c r="G1042" s="37"/>
      <c r="H1042" s="37"/>
      <c r="I1042" s="37"/>
      <c r="J1042" s="37"/>
      <c r="K1042" s="37"/>
      <c r="L1042" s="37"/>
      <c r="M1042" s="37"/>
      <c r="N1042" s="37"/>
      <c r="O1042" s="37"/>
      <c r="P1042" s="37"/>
      <c r="Q1042" s="37"/>
      <c r="R1042" s="37"/>
      <c r="S1042" s="37"/>
      <c r="T1042" s="37"/>
      <c r="U1042" s="37"/>
      <c r="V1042" s="37"/>
      <c r="W1042" s="37"/>
      <c r="X1042" s="37"/>
      <c r="Y1042" s="37"/>
      <c r="Z1042" s="37"/>
      <c r="AA1042" s="37"/>
      <c r="AB1042" s="37"/>
    </row>
    <row r="1043" spans="7:28" ht="12.75" customHeight="1">
      <c r="G1043" s="37"/>
      <c r="H1043" s="37"/>
      <c r="I1043" s="37"/>
      <c r="J1043" s="37"/>
      <c r="K1043" s="37"/>
      <c r="L1043" s="37"/>
      <c r="M1043" s="37"/>
      <c r="N1043" s="37"/>
      <c r="O1043" s="37"/>
      <c r="P1043" s="37"/>
      <c r="Q1043" s="37"/>
      <c r="R1043" s="37"/>
      <c r="S1043" s="37"/>
      <c r="T1043" s="37"/>
      <c r="U1043" s="37"/>
      <c r="V1043" s="37"/>
      <c r="W1043" s="37"/>
      <c r="X1043" s="37"/>
      <c r="Y1043" s="37"/>
      <c r="Z1043" s="37"/>
      <c r="AA1043" s="37"/>
      <c r="AB1043" s="37"/>
    </row>
    <row r="1044" spans="7:28" ht="12.75" customHeight="1"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</row>
    <row r="1045" spans="7:28" ht="12.75" customHeight="1">
      <c r="G1045" s="37"/>
      <c r="H1045" s="37"/>
      <c r="I1045" s="37"/>
      <c r="J1045" s="37"/>
      <c r="K1045" s="37"/>
      <c r="L1045" s="37"/>
      <c r="M1045" s="37"/>
      <c r="N1045" s="37"/>
      <c r="O1045" s="37"/>
      <c r="P1045" s="37"/>
      <c r="Q1045" s="37"/>
      <c r="R1045" s="37"/>
      <c r="S1045" s="37"/>
      <c r="T1045" s="37"/>
      <c r="U1045" s="37"/>
      <c r="V1045" s="37"/>
      <c r="W1045" s="37"/>
      <c r="X1045" s="37"/>
      <c r="Y1045" s="37"/>
      <c r="Z1045" s="37"/>
      <c r="AA1045" s="37"/>
      <c r="AB1045" s="37"/>
    </row>
    <row r="1046" spans="7:28" ht="12.75" customHeight="1"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</row>
    <row r="1047" spans="7:28" ht="12.75" customHeight="1">
      <c r="G1047" s="37"/>
      <c r="H1047" s="37"/>
      <c r="I1047" s="37"/>
      <c r="J1047" s="37"/>
      <c r="K1047" s="37"/>
      <c r="L1047" s="37"/>
      <c r="M1047" s="37"/>
      <c r="N1047" s="37"/>
      <c r="O1047" s="37"/>
      <c r="P1047" s="37"/>
      <c r="Q1047" s="37"/>
      <c r="R1047" s="37"/>
      <c r="S1047" s="37"/>
      <c r="T1047" s="37"/>
      <c r="U1047" s="37"/>
      <c r="V1047" s="37"/>
      <c r="W1047" s="37"/>
      <c r="X1047" s="37"/>
      <c r="Y1047" s="37"/>
      <c r="Z1047" s="37"/>
      <c r="AA1047" s="37"/>
      <c r="AB1047" s="37"/>
    </row>
    <row r="1048" spans="7:28" ht="12.75" customHeight="1">
      <c r="G1048" s="37"/>
      <c r="H1048" s="37"/>
      <c r="I1048" s="37"/>
      <c r="J1048" s="37"/>
      <c r="K1048" s="37"/>
      <c r="L1048" s="37"/>
      <c r="M1048" s="37"/>
      <c r="N1048" s="37"/>
      <c r="O1048" s="37"/>
      <c r="P1048" s="37"/>
      <c r="Q1048" s="37"/>
      <c r="R1048" s="37"/>
      <c r="S1048" s="37"/>
      <c r="T1048" s="37"/>
      <c r="U1048" s="37"/>
      <c r="V1048" s="37"/>
      <c r="W1048" s="37"/>
      <c r="X1048" s="37"/>
      <c r="Y1048" s="37"/>
      <c r="Z1048" s="37"/>
      <c r="AA1048" s="37"/>
      <c r="AB1048" s="37"/>
    </row>
    <row r="1049" spans="7:28" ht="12.75" customHeight="1">
      <c r="G1049" s="37"/>
      <c r="H1049" s="37"/>
      <c r="I1049" s="37"/>
      <c r="J1049" s="37"/>
      <c r="K1049" s="37"/>
      <c r="L1049" s="37"/>
      <c r="M1049" s="37"/>
      <c r="N1049" s="37"/>
      <c r="O1049" s="37"/>
      <c r="P1049" s="37"/>
      <c r="Q1049" s="37"/>
      <c r="R1049" s="37"/>
      <c r="S1049" s="37"/>
      <c r="T1049" s="37"/>
      <c r="U1049" s="37"/>
      <c r="V1049" s="37"/>
      <c r="W1049" s="37"/>
      <c r="X1049" s="37"/>
      <c r="Y1049" s="37"/>
      <c r="Z1049" s="37"/>
      <c r="AA1049" s="37"/>
      <c r="AB1049" s="37"/>
    </row>
    <row r="1050" spans="7:28" ht="12.75" customHeight="1">
      <c r="G1050" s="37"/>
      <c r="H1050" s="37"/>
      <c r="I1050" s="37"/>
      <c r="J1050" s="37"/>
      <c r="K1050" s="37"/>
      <c r="L1050" s="37"/>
      <c r="M1050" s="37"/>
      <c r="N1050" s="37"/>
      <c r="O1050" s="37"/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37"/>
      <c r="AA1050" s="37"/>
      <c r="AB1050" s="37"/>
    </row>
    <row r="1051" spans="7:28" ht="12.75" customHeight="1">
      <c r="G1051" s="37"/>
      <c r="H1051" s="37"/>
      <c r="I1051" s="37"/>
      <c r="J1051" s="37"/>
      <c r="K1051" s="37"/>
      <c r="L1051" s="37"/>
      <c r="M1051" s="37"/>
      <c r="N1051" s="37"/>
      <c r="O1051" s="37"/>
      <c r="P1051" s="37"/>
      <c r="Q1051" s="37"/>
      <c r="R1051" s="37"/>
      <c r="S1051" s="37"/>
      <c r="T1051" s="37"/>
      <c r="U1051" s="37"/>
      <c r="V1051" s="37"/>
      <c r="W1051" s="37"/>
      <c r="X1051" s="37"/>
      <c r="Y1051" s="37"/>
      <c r="Z1051" s="37"/>
      <c r="AA1051" s="37"/>
      <c r="AB1051" s="37"/>
    </row>
    <row r="1052" spans="7:28" ht="12.75" customHeight="1">
      <c r="G1052" s="37"/>
      <c r="H1052" s="37"/>
      <c r="I1052" s="37"/>
      <c r="J1052" s="37"/>
      <c r="K1052" s="37"/>
      <c r="L1052" s="37"/>
      <c r="M1052" s="37"/>
      <c r="N1052" s="37"/>
      <c r="O1052" s="37"/>
      <c r="P1052" s="37"/>
      <c r="Q1052" s="37"/>
      <c r="R1052" s="37"/>
      <c r="S1052" s="37"/>
      <c r="T1052" s="37"/>
      <c r="U1052" s="37"/>
      <c r="V1052" s="37"/>
      <c r="W1052" s="37"/>
      <c r="X1052" s="37"/>
      <c r="Y1052" s="37"/>
      <c r="Z1052" s="37"/>
      <c r="AA1052" s="37"/>
      <c r="AB1052" s="37"/>
    </row>
    <row r="1053" spans="7:28" ht="12.75" customHeight="1">
      <c r="G1053" s="37"/>
      <c r="H1053" s="37"/>
      <c r="I1053" s="37"/>
      <c r="J1053" s="37"/>
      <c r="K1053" s="37"/>
      <c r="L1053" s="37"/>
      <c r="M1053" s="37"/>
      <c r="N1053" s="37"/>
      <c r="O1053" s="37"/>
      <c r="P1053" s="37"/>
      <c r="Q1053" s="37"/>
      <c r="R1053" s="37"/>
      <c r="S1053" s="37"/>
      <c r="T1053" s="37"/>
      <c r="U1053" s="37"/>
      <c r="V1053" s="37"/>
      <c r="W1053" s="37"/>
      <c r="X1053" s="37"/>
      <c r="Y1053" s="37"/>
      <c r="Z1053" s="37"/>
      <c r="AA1053" s="37"/>
      <c r="AB1053" s="37"/>
    </row>
    <row r="1054" spans="7:28" ht="12.75" customHeight="1">
      <c r="G1054" s="37"/>
      <c r="H1054" s="37"/>
      <c r="I1054" s="37"/>
      <c r="J1054" s="37"/>
      <c r="K1054" s="37"/>
      <c r="L1054" s="37"/>
      <c r="M1054" s="37"/>
      <c r="N1054" s="37"/>
      <c r="O1054" s="37"/>
      <c r="P1054" s="37"/>
      <c r="Q1054" s="37"/>
      <c r="R1054" s="37"/>
      <c r="S1054" s="37"/>
      <c r="T1054" s="37"/>
      <c r="U1054" s="37"/>
      <c r="V1054" s="37"/>
      <c r="W1054" s="37"/>
      <c r="X1054" s="37"/>
      <c r="Y1054" s="37"/>
      <c r="Z1054" s="37"/>
      <c r="AA1054" s="37"/>
      <c r="AB1054" s="37"/>
    </row>
    <row r="1055" spans="7:28" ht="12.75" customHeight="1">
      <c r="G1055" s="37"/>
      <c r="H1055" s="37"/>
      <c r="I1055" s="37"/>
      <c r="J1055" s="37"/>
      <c r="K1055" s="37"/>
      <c r="L1055" s="37"/>
      <c r="M1055" s="37"/>
      <c r="N1055" s="37"/>
      <c r="O1055" s="37"/>
      <c r="P1055" s="37"/>
      <c r="Q1055" s="37"/>
      <c r="R1055" s="37"/>
      <c r="S1055" s="37"/>
      <c r="T1055" s="37"/>
      <c r="U1055" s="37"/>
      <c r="V1055" s="37"/>
      <c r="W1055" s="37"/>
      <c r="X1055" s="37"/>
      <c r="Y1055" s="37"/>
      <c r="Z1055" s="37"/>
      <c r="AA1055" s="37"/>
      <c r="AB1055" s="37"/>
    </row>
    <row r="1056" spans="7:28" ht="12.75" customHeight="1">
      <c r="G1056" s="37"/>
      <c r="H1056" s="37"/>
      <c r="I1056" s="37"/>
      <c r="J1056" s="37"/>
      <c r="K1056" s="37"/>
      <c r="L1056" s="37"/>
      <c r="M1056" s="37"/>
      <c r="N1056" s="37"/>
      <c r="O1056" s="37"/>
      <c r="P1056" s="37"/>
      <c r="Q1056" s="37"/>
      <c r="R1056" s="37"/>
      <c r="S1056" s="37"/>
      <c r="T1056" s="37"/>
      <c r="U1056" s="37"/>
      <c r="V1056" s="37"/>
      <c r="W1056" s="37"/>
      <c r="X1056" s="37"/>
      <c r="Y1056" s="37"/>
      <c r="Z1056" s="37"/>
      <c r="AA1056" s="37"/>
      <c r="AB1056" s="37"/>
    </row>
    <row r="1057" spans="7:28" ht="12.75" customHeight="1">
      <c r="G1057" s="37"/>
      <c r="H1057" s="37"/>
      <c r="I1057" s="37"/>
      <c r="J1057" s="37"/>
      <c r="K1057" s="37"/>
      <c r="L1057" s="37"/>
      <c r="M1057" s="37"/>
      <c r="N1057" s="37"/>
      <c r="O1057" s="37"/>
      <c r="P1057" s="37"/>
      <c r="Q1057" s="37"/>
      <c r="R1057" s="37"/>
      <c r="S1057" s="37"/>
      <c r="T1057" s="37"/>
      <c r="U1057" s="37"/>
      <c r="V1057" s="37"/>
      <c r="W1057" s="37"/>
      <c r="X1057" s="37"/>
      <c r="Y1057" s="37"/>
      <c r="Z1057" s="37"/>
      <c r="AA1057" s="37"/>
      <c r="AB1057" s="37"/>
    </row>
    <row r="1058" spans="7:28" ht="12.75" customHeight="1">
      <c r="G1058" s="37"/>
      <c r="H1058" s="37"/>
      <c r="I1058" s="37"/>
      <c r="J1058" s="37"/>
      <c r="K1058" s="37"/>
      <c r="L1058" s="37"/>
      <c r="M1058" s="37"/>
      <c r="N1058" s="37"/>
      <c r="O1058" s="37"/>
      <c r="P1058" s="37"/>
      <c r="Q1058" s="37"/>
      <c r="R1058" s="37"/>
      <c r="S1058" s="37"/>
      <c r="T1058" s="37"/>
      <c r="U1058" s="37"/>
      <c r="V1058" s="37"/>
      <c r="W1058" s="37"/>
      <c r="X1058" s="37"/>
      <c r="Y1058" s="37"/>
      <c r="Z1058" s="37"/>
      <c r="AA1058" s="37"/>
      <c r="AB1058" s="37"/>
    </row>
    <row r="1059" spans="7:28" ht="12.75" customHeight="1">
      <c r="G1059" s="37"/>
      <c r="H1059" s="37"/>
      <c r="I1059" s="37"/>
      <c r="J1059" s="37"/>
      <c r="K1059" s="37"/>
      <c r="L1059" s="37"/>
      <c r="M1059" s="37"/>
      <c r="N1059" s="37"/>
      <c r="O1059" s="37"/>
      <c r="P1059" s="37"/>
      <c r="Q1059" s="37"/>
      <c r="R1059" s="37"/>
      <c r="S1059" s="37"/>
      <c r="T1059" s="37"/>
      <c r="U1059" s="37"/>
      <c r="V1059" s="37"/>
      <c r="W1059" s="37"/>
      <c r="X1059" s="37"/>
      <c r="Y1059" s="37"/>
      <c r="Z1059" s="37"/>
      <c r="AA1059" s="37"/>
      <c r="AB1059" s="37"/>
    </row>
    <row r="1060" spans="7:28" ht="12.75" customHeight="1">
      <c r="G1060" s="37"/>
      <c r="H1060" s="37"/>
      <c r="I1060" s="37"/>
      <c r="J1060" s="37"/>
      <c r="K1060" s="37"/>
      <c r="L1060" s="37"/>
      <c r="M1060" s="37"/>
      <c r="N1060" s="37"/>
      <c r="O1060" s="37"/>
      <c r="P1060" s="37"/>
      <c r="Q1060" s="37"/>
      <c r="R1060" s="37"/>
      <c r="S1060" s="37"/>
      <c r="T1060" s="37"/>
      <c r="U1060" s="37"/>
      <c r="V1060" s="37"/>
      <c r="W1060" s="37"/>
      <c r="X1060" s="37"/>
      <c r="Y1060" s="37"/>
      <c r="Z1060" s="37"/>
      <c r="AA1060" s="37"/>
      <c r="AB1060" s="37"/>
    </row>
    <row r="1061" spans="7:28" ht="12.75" customHeight="1">
      <c r="G1061" s="37"/>
      <c r="H1061" s="37"/>
      <c r="I1061" s="37"/>
      <c r="J1061" s="37"/>
      <c r="K1061" s="37"/>
      <c r="L1061" s="37"/>
      <c r="M1061" s="37"/>
      <c r="N1061" s="37"/>
      <c r="O1061" s="37"/>
      <c r="P1061" s="37"/>
      <c r="Q1061" s="37"/>
      <c r="R1061" s="37"/>
      <c r="S1061" s="37"/>
      <c r="T1061" s="37"/>
      <c r="U1061" s="37"/>
      <c r="V1061" s="37"/>
      <c r="W1061" s="37"/>
      <c r="X1061" s="37"/>
      <c r="Y1061" s="37"/>
      <c r="Z1061" s="37"/>
      <c r="AA1061" s="37"/>
      <c r="AB1061" s="37"/>
    </row>
    <row r="1062" spans="7:28" ht="12.75" customHeight="1">
      <c r="G1062" s="37"/>
      <c r="H1062" s="37"/>
      <c r="I1062" s="37"/>
      <c r="J1062" s="37"/>
      <c r="K1062" s="37"/>
      <c r="L1062" s="37"/>
      <c r="M1062" s="37"/>
      <c r="N1062" s="37"/>
      <c r="O1062" s="37"/>
      <c r="P1062" s="37"/>
      <c r="Q1062" s="37"/>
      <c r="R1062" s="37"/>
      <c r="S1062" s="37"/>
      <c r="T1062" s="37"/>
      <c r="U1062" s="37"/>
      <c r="V1062" s="37"/>
      <c r="W1062" s="37"/>
      <c r="X1062" s="37"/>
      <c r="Y1062" s="37"/>
      <c r="Z1062" s="37"/>
      <c r="AA1062" s="37"/>
      <c r="AB1062" s="37"/>
    </row>
    <row r="1063" spans="7:28" ht="12.75" customHeight="1">
      <c r="G1063" s="37"/>
      <c r="H1063" s="37"/>
      <c r="I1063" s="37"/>
      <c r="J1063" s="37"/>
      <c r="K1063" s="37"/>
      <c r="L1063" s="37"/>
      <c r="M1063" s="37"/>
      <c r="N1063" s="37"/>
      <c r="O1063" s="37"/>
      <c r="P1063" s="37"/>
      <c r="Q1063" s="37"/>
      <c r="R1063" s="37"/>
      <c r="S1063" s="37"/>
      <c r="T1063" s="37"/>
      <c r="U1063" s="37"/>
      <c r="V1063" s="37"/>
      <c r="W1063" s="37"/>
      <c r="X1063" s="37"/>
      <c r="Y1063" s="37"/>
      <c r="Z1063" s="37"/>
      <c r="AA1063" s="37"/>
      <c r="AB1063" s="37"/>
    </row>
    <row r="1064" spans="7:28" ht="12.75" customHeight="1">
      <c r="G1064" s="37"/>
      <c r="H1064" s="37"/>
      <c r="I1064" s="37"/>
      <c r="J1064" s="37"/>
      <c r="K1064" s="37"/>
      <c r="L1064" s="37"/>
      <c r="M1064" s="37"/>
      <c r="N1064" s="37"/>
      <c r="O1064" s="37"/>
      <c r="P1064" s="37"/>
      <c r="Q1064" s="37"/>
      <c r="R1064" s="37"/>
      <c r="S1064" s="37"/>
      <c r="T1064" s="37"/>
      <c r="U1064" s="37"/>
      <c r="V1064" s="37"/>
      <c r="W1064" s="37"/>
      <c r="X1064" s="37"/>
      <c r="Y1064" s="37"/>
      <c r="Z1064" s="37"/>
      <c r="AA1064" s="37"/>
      <c r="AB1064" s="37"/>
    </row>
    <row r="1065" spans="7:28" ht="12.75" customHeight="1">
      <c r="G1065" s="37"/>
      <c r="H1065" s="37"/>
      <c r="I1065" s="37"/>
      <c r="J1065" s="37"/>
      <c r="K1065" s="37"/>
      <c r="L1065" s="37"/>
      <c r="M1065" s="37"/>
      <c r="N1065" s="37"/>
      <c r="O1065" s="37"/>
      <c r="P1065" s="37"/>
      <c r="Q1065" s="37"/>
      <c r="R1065" s="37"/>
      <c r="S1065" s="37"/>
      <c r="T1065" s="37"/>
      <c r="U1065" s="37"/>
      <c r="V1065" s="37"/>
      <c r="W1065" s="37"/>
      <c r="X1065" s="37"/>
      <c r="Y1065" s="37"/>
      <c r="Z1065" s="37"/>
      <c r="AA1065" s="37"/>
      <c r="AB1065" s="37"/>
    </row>
    <row r="1066" spans="7:28" ht="12.75" customHeight="1">
      <c r="G1066" s="37"/>
      <c r="H1066" s="37"/>
      <c r="I1066" s="37"/>
      <c r="J1066" s="37"/>
      <c r="K1066" s="37"/>
      <c r="L1066" s="37"/>
      <c r="M1066" s="37"/>
      <c r="N1066" s="37"/>
      <c r="O1066" s="37"/>
      <c r="P1066" s="37"/>
      <c r="Q1066" s="37"/>
      <c r="R1066" s="37"/>
      <c r="S1066" s="37"/>
      <c r="T1066" s="37"/>
      <c r="U1066" s="37"/>
      <c r="V1066" s="37"/>
      <c r="W1066" s="37"/>
      <c r="X1066" s="37"/>
      <c r="Y1066" s="37"/>
      <c r="Z1066" s="37"/>
      <c r="AA1066" s="37"/>
      <c r="AB1066" s="37"/>
    </row>
    <row r="1067" spans="7:28" ht="12.75" customHeight="1">
      <c r="G1067" s="37"/>
      <c r="H1067" s="37"/>
      <c r="I1067" s="37"/>
      <c r="J1067" s="37"/>
      <c r="K1067" s="37"/>
      <c r="L1067" s="37"/>
      <c r="M1067" s="37"/>
      <c r="N1067" s="37"/>
      <c r="O1067" s="37"/>
      <c r="P1067" s="37"/>
      <c r="Q1067" s="37"/>
      <c r="R1067" s="37"/>
      <c r="S1067" s="37"/>
      <c r="T1067" s="37"/>
      <c r="U1067" s="37"/>
      <c r="V1067" s="37"/>
      <c r="W1067" s="37"/>
      <c r="X1067" s="37"/>
      <c r="Y1067" s="37"/>
      <c r="Z1067" s="37"/>
      <c r="AA1067" s="37"/>
      <c r="AB1067" s="37"/>
    </row>
    <row r="1068" spans="7:28" ht="12.75" customHeight="1">
      <c r="G1068" s="37"/>
      <c r="H1068" s="37"/>
      <c r="I1068" s="37"/>
      <c r="J1068" s="37"/>
      <c r="K1068" s="37"/>
      <c r="L1068" s="37"/>
      <c r="M1068" s="37"/>
      <c r="N1068" s="37"/>
      <c r="O1068" s="37"/>
      <c r="P1068" s="37"/>
      <c r="Q1068" s="37"/>
      <c r="R1068" s="37"/>
      <c r="S1068" s="37"/>
      <c r="T1068" s="37"/>
      <c r="U1068" s="37"/>
      <c r="V1068" s="37"/>
      <c r="W1068" s="37"/>
      <c r="X1068" s="37"/>
      <c r="Y1068" s="37"/>
      <c r="Z1068" s="37"/>
      <c r="AA1068" s="37"/>
      <c r="AB1068" s="37"/>
    </row>
    <row r="1069" spans="7:28" ht="12.75" customHeight="1">
      <c r="G1069" s="37"/>
      <c r="H1069" s="37"/>
      <c r="I1069" s="37"/>
      <c r="J1069" s="37"/>
      <c r="K1069" s="37"/>
      <c r="L1069" s="37"/>
      <c r="M1069" s="37"/>
      <c r="N1069" s="37"/>
      <c r="O1069" s="37"/>
      <c r="P1069" s="37"/>
      <c r="Q1069" s="37"/>
      <c r="R1069" s="37"/>
      <c r="S1069" s="37"/>
      <c r="T1069" s="37"/>
      <c r="U1069" s="37"/>
      <c r="V1069" s="37"/>
      <c r="W1069" s="37"/>
      <c r="X1069" s="37"/>
      <c r="Y1069" s="37"/>
      <c r="Z1069" s="37"/>
      <c r="AA1069" s="37"/>
      <c r="AB1069" s="37"/>
    </row>
    <row r="1070" spans="7:28" ht="12.75" customHeight="1">
      <c r="G1070" s="37"/>
      <c r="H1070" s="37"/>
      <c r="I1070" s="37"/>
      <c r="J1070" s="37"/>
      <c r="K1070" s="37"/>
      <c r="L1070" s="37"/>
      <c r="M1070" s="37"/>
      <c r="N1070" s="37"/>
      <c r="O1070" s="37"/>
      <c r="P1070" s="37"/>
      <c r="Q1070" s="37"/>
      <c r="R1070" s="37"/>
      <c r="S1070" s="37"/>
      <c r="T1070" s="37"/>
      <c r="U1070" s="37"/>
      <c r="V1070" s="37"/>
      <c r="W1070" s="37"/>
      <c r="X1070" s="37"/>
      <c r="Y1070" s="37"/>
      <c r="Z1070" s="37"/>
      <c r="AA1070" s="37"/>
      <c r="AB1070" s="37"/>
    </row>
    <row r="1071" spans="7:28" ht="12.75" customHeight="1">
      <c r="G1071" s="37"/>
      <c r="H1071" s="37"/>
      <c r="I1071" s="37"/>
      <c r="J1071" s="37"/>
      <c r="K1071" s="37"/>
      <c r="L1071" s="37"/>
      <c r="M1071" s="37"/>
      <c r="N1071" s="37"/>
      <c r="O1071" s="37"/>
      <c r="P1071" s="37"/>
      <c r="Q1071" s="37"/>
      <c r="R1071" s="37"/>
      <c r="S1071" s="37"/>
      <c r="T1071" s="37"/>
      <c r="U1071" s="37"/>
      <c r="V1071" s="37"/>
      <c r="W1071" s="37"/>
      <c r="X1071" s="37"/>
      <c r="Y1071" s="37"/>
      <c r="Z1071" s="37"/>
      <c r="AA1071" s="37"/>
      <c r="AB1071" s="37"/>
    </row>
    <row r="1072" spans="7:28" ht="12.75" customHeight="1">
      <c r="G1072" s="37"/>
      <c r="H1072" s="37"/>
      <c r="I1072" s="37"/>
      <c r="J1072" s="37"/>
      <c r="K1072" s="37"/>
      <c r="L1072" s="37"/>
      <c r="M1072" s="37"/>
      <c r="N1072" s="37"/>
      <c r="O1072" s="37"/>
      <c r="P1072" s="37"/>
      <c r="Q1072" s="37"/>
      <c r="R1072" s="37"/>
      <c r="S1072" s="37"/>
      <c r="T1072" s="37"/>
      <c r="U1072" s="37"/>
      <c r="V1072" s="37"/>
      <c r="W1072" s="37"/>
      <c r="X1072" s="37"/>
      <c r="Y1072" s="37"/>
      <c r="Z1072" s="37"/>
      <c r="AA1072" s="37"/>
      <c r="AB1072" s="37"/>
    </row>
    <row r="1073" spans="7:28" ht="12.75" customHeight="1">
      <c r="G1073" s="37"/>
      <c r="H1073" s="37"/>
      <c r="I1073" s="37"/>
      <c r="J1073" s="37"/>
      <c r="K1073" s="37"/>
      <c r="L1073" s="37"/>
      <c r="M1073" s="37"/>
      <c r="N1073" s="37"/>
      <c r="O1073" s="37"/>
      <c r="P1073" s="37"/>
      <c r="Q1073" s="37"/>
      <c r="R1073" s="37"/>
      <c r="S1073" s="37"/>
      <c r="T1073" s="37"/>
      <c r="U1073" s="37"/>
      <c r="V1073" s="37"/>
      <c r="W1073" s="37"/>
      <c r="X1073" s="37"/>
      <c r="Y1073" s="37"/>
      <c r="Z1073" s="37"/>
      <c r="AA1073" s="37"/>
      <c r="AB1073" s="37"/>
    </row>
    <row r="1074" spans="7:28" ht="12.75" customHeight="1">
      <c r="G1074" s="37"/>
      <c r="H1074" s="37"/>
      <c r="I1074" s="37"/>
      <c r="J1074" s="37"/>
      <c r="K1074" s="37"/>
      <c r="L1074" s="37"/>
      <c r="M1074" s="37"/>
      <c r="N1074" s="37"/>
      <c r="O1074" s="37"/>
      <c r="P1074" s="37"/>
      <c r="Q1074" s="37"/>
      <c r="R1074" s="37"/>
      <c r="S1074" s="37"/>
      <c r="T1074" s="37"/>
      <c r="U1074" s="37"/>
      <c r="V1074" s="37"/>
      <c r="W1074" s="37"/>
      <c r="X1074" s="37"/>
      <c r="Y1074" s="37"/>
      <c r="Z1074" s="37"/>
      <c r="AA1074" s="37"/>
      <c r="AB1074" s="37"/>
    </row>
    <row r="1075" spans="7:28" ht="12.75" customHeight="1">
      <c r="G1075" s="37"/>
      <c r="H1075" s="37"/>
      <c r="I1075" s="37"/>
      <c r="J1075" s="37"/>
      <c r="K1075" s="37"/>
      <c r="L1075" s="37"/>
      <c r="M1075" s="37"/>
      <c r="N1075" s="37"/>
      <c r="O1075" s="37"/>
      <c r="P1075" s="37"/>
      <c r="Q1075" s="37"/>
      <c r="R1075" s="37"/>
      <c r="S1075" s="37"/>
      <c r="T1075" s="37"/>
      <c r="U1075" s="37"/>
      <c r="V1075" s="37"/>
      <c r="W1075" s="37"/>
      <c r="X1075" s="37"/>
      <c r="Y1075" s="37"/>
      <c r="Z1075" s="37"/>
      <c r="AA1075" s="37"/>
      <c r="AB1075" s="37"/>
    </row>
    <row r="1076" spans="7:28" ht="12.75" customHeight="1">
      <c r="G1076" s="37"/>
      <c r="H1076" s="37"/>
      <c r="I1076" s="37"/>
      <c r="J1076" s="37"/>
      <c r="K1076" s="37"/>
      <c r="L1076" s="37"/>
      <c r="M1076" s="37"/>
      <c r="N1076" s="37"/>
      <c r="O1076" s="37"/>
      <c r="P1076" s="37"/>
      <c r="Q1076" s="37"/>
      <c r="R1076" s="37"/>
      <c r="S1076" s="37"/>
      <c r="T1076" s="37"/>
      <c r="U1076" s="37"/>
      <c r="V1076" s="37"/>
      <c r="W1076" s="37"/>
      <c r="X1076" s="37"/>
      <c r="Y1076" s="37"/>
      <c r="Z1076" s="37"/>
      <c r="AA1076" s="37"/>
      <c r="AB1076" s="37"/>
    </row>
    <row r="1077" spans="7:28" ht="12.75" customHeight="1">
      <c r="G1077" s="37"/>
      <c r="H1077" s="37"/>
      <c r="I1077" s="37"/>
      <c r="J1077" s="37"/>
      <c r="K1077" s="37"/>
      <c r="L1077" s="37"/>
      <c r="M1077" s="37"/>
      <c r="N1077" s="37"/>
      <c r="O1077" s="37"/>
      <c r="P1077" s="37"/>
      <c r="Q1077" s="37"/>
      <c r="R1077" s="37"/>
      <c r="S1077" s="37"/>
      <c r="T1077" s="37"/>
      <c r="U1077" s="37"/>
      <c r="V1077" s="37"/>
      <c r="W1077" s="37"/>
      <c r="X1077" s="37"/>
      <c r="Y1077" s="37"/>
      <c r="Z1077" s="37"/>
      <c r="AA1077" s="37"/>
      <c r="AB1077" s="37"/>
    </row>
    <row r="1078" spans="7:28" ht="12.75" customHeight="1">
      <c r="G1078" s="37"/>
      <c r="H1078" s="37"/>
      <c r="I1078" s="37"/>
      <c r="J1078" s="37"/>
      <c r="K1078" s="37"/>
      <c r="L1078" s="37"/>
      <c r="M1078" s="37"/>
      <c r="N1078" s="37"/>
      <c r="O1078" s="37"/>
      <c r="P1078" s="37"/>
      <c r="Q1078" s="37"/>
      <c r="R1078" s="37"/>
      <c r="S1078" s="37"/>
      <c r="T1078" s="37"/>
      <c r="U1078" s="37"/>
      <c r="V1078" s="37"/>
      <c r="W1078" s="37"/>
      <c r="X1078" s="37"/>
      <c r="Y1078" s="37"/>
      <c r="Z1078" s="37"/>
      <c r="AA1078" s="37"/>
      <c r="AB1078" s="37"/>
    </row>
    <row r="1079" spans="7:28" ht="12.75" customHeight="1">
      <c r="G1079" s="37"/>
      <c r="H1079" s="37"/>
      <c r="I1079" s="37"/>
      <c r="J1079" s="37"/>
      <c r="K1079" s="37"/>
      <c r="L1079" s="37"/>
      <c r="M1079" s="37"/>
      <c r="N1079" s="37"/>
      <c r="O1079" s="37"/>
      <c r="P1079" s="37"/>
      <c r="Q1079" s="37"/>
      <c r="R1079" s="37"/>
      <c r="S1079" s="37"/>
      <c r="T1079" s="37"/>
      <c r="U1079" s="37"/>
      <c r="V1079" s="37"/>
      <c r="W1079" s="37"/>
      <c r="X1079" s="37"/>
      <c r="Y1079" s="37"/>
      <c r="Z1079" s="37"/>
      <c r="AA1079" s="37"/>
      <c r="AB1079" s="37"/>
    </row>
    <row r="1080" spans="7:28" ht="12.75" customHeight="1">
      <c r="G1080" s="37"/>
      <c r="H1080" s="37"/>
      <c r="I1080" s="37"/>
      <c r="J1080" s="37"/>
      <c r="K1080" s="37"/>
      <c r="L1080" s="37"/>
      <c r="M1080" s="37"/>
      <c r="N1080" s="37"/>
      <c r="O1080" s="37"/>
      <c r="P1080" s="37"/>
      <c r="Q1080" s="37"/>
      <c r="R1080" s="37"/>
      <c r="S1080" s="37"/>
      <c r="T1080" s="37"/>
      <c r="U1080" s="37"/>
      <c r="V1080" s="37"/>
      <c r="W1080" s="37"/>
      <c r="X1080" s="37"/>
      <c r="Y1080" s="37"/>
      <c r="Z1080" s="37"/>
      <c r="AA1080" s="37"/>
      <c r="AB1080" s="37"/>
    </row>
    <row r="1081" spans="7:28" ht="12.75" customHeight="1">
      <c r="G1081" s="37"/>
      <c r="H1081" s="37"/>
      <c r="I1081" s="37"/>
      <c r="J1081" s="37"/>
      <c r="K1081" s="37"/>
      <c r="L1081" s="37"/>
      <c r="M1081" s="37"/>
      <c r="N1081" s="37"/>
      <c r="O1081" s="37"/>
      <c r="P1081" s="37"/>
      <c r="Q1081" s="37"/>
      <c r="R1081" s="37"/>
      <c r="S1081" s="37"/>
      <c r="T1081" s="37"/>
      <c r="U1081" s="37"/>
      <c r="V1081" s="37"/>
      <c r="W1081" s="37"/>
      <c r="X1081" s="37"/>
      <c r="Y1081" s="37"/>
      <c r="Z1081" s="37"/>
      <c r="AA1081" s="37"/>
      <c r="AB1081" s="37"/>
    </row>
    <row r="1082" spans="7:28" ht="12.75" customHeight="1">
      <c r="G1082" s="37"/>
      <c r="H1082" s="37"/>
      <c r="I1082" s="37"/>
      <c r="J1082" s="37"/>
      <c r="K1082" s="37"/>
      <c r="L1082" s="37"/>
      <c r="M1082" s="37"/>
      <c r="N1082" s="37"/>
      <c r="O1082" s="37"/>
      <c r="P1082" s="37"/>
      <c r="Q1082" s="37"/>
      <c r="R1082" s="37"/>
      <c r="S1082" s="37"/>
      <c r="T1082" s="37"/>
      <c r="U1082" s="37"/>
      <c r="V1082" s="37"/>
      <c r="W1082" s="37"/>
      <c r="X1082" s="37"/>
      <c r="Y1082" s="37"/>
      <c r="Z1082" s="37"/>
      <c r="AA1082" s="37"/>
      <c r="AB1082" s="37"/>
    </row>
    <row r="1083" spans="7:28" ht="12.75" customHeight="1">
      <c r="G1083" s="37"/>
      <c r="H1083" s="37"/>
      <c r="I1083" s="37"/>
      <c r="J1083" s="37"/>
      <c r="K1083" s="37"/>
      <c r="L1083" s="37"/>
      <c r="M1083" s="37"/>
      <c r="N1083" s="37"/>
      <c r="O1083" s="37"/>
      <c r="P1083" s="37"/>
      <c r="Q1083" s="37"/>
      <c r="R1083" s="37"/>
      <c r="S1083" s="37"/>
      <c r="T1083" s="37"/>
      <c r="U1083" s="37"/>
      <c r="V1083" s="37"/>
      <c r="W1083" s="37"/>
      <c r="X1083" s="37"/>
      <c r="Y1083" s="37"/>
      <c r="Z1083" s="37"/>
      <c r="AA1083" s="37"/>
      <c r="AB1083" s="37"/>
    </row>
    <row r="1084" spans="7:28" ht="12.75" customHeight="1">
      <c r="G1084" s="37"/>
      <c r="H1084" s="37"/>
      <c r="I1084" s="37"/>
      <c r="J1084" s="37"/>
      <c r="K1084" s="37"/>
      <c r="L1084" s="37"/>
      <c r="M1084" s="37"/>
      <c r="N1084" s="37"/>
      <c r="O1084" s="37"/>
      <c r="P1084" s="37"/>
      <c r="Q1084" s="37"/>
      <c r="R1084" s="37"/>
      <c r="S1084" s="37"/>
      <c r="T1084" s="37"/>
      <c r="U1084" s="37"/>
      <c r="V1084" s="37"/>
      <c r="W1084" s="37"/>
      <c r="X1084" s="37"/>
      <c r="Y1084" s="37"/>
      <c r="Z1084" s="37"/>
      <c r="AA1084" s="37"/>
      <c r="AB1084" s="37"/>
    </row>
    <row r="1085" spans="7:28" ht="12.75" customHeight="1">
      <c r="G1085" s="37"/>
      <c r="H1085" s="37"/>
      <c r="I1085" s="37"/>
      <c r="J1085" s="37"/>
      <c r="K1085" s="37"/>
      <c r="L1085" s="37"/>
      <c r="M1085" s="37"/>
      <c r="N1085" s="37"/>
      <c r="O1085" s="37"/>
      <c r="P1085" s="37"/>
      <c r="Q1085" s="37"/>
      <c r="R1085" s="37"/>
      <c r="S1085" s="37"/>
      <c r="T1085" s="37"/>
      <c r="U1085" s="37"/>
      <c r="V1085" s="37"/>
      <c r="W1085" s="37"/>
      <c r="X1085" s="37"/>
      <c r="Y1085" s="37"/>
      <c r="Z1085" s="37"/>
      <c r="AA1085" s="37"/>
      <c r="AB1085" s="37"/>
    </row>
    <row r="1086" spans="7:28" ht="12.75" customHeight="1">
      <c r="G1086" s="37"/>
      <c r="H1086" s="37"/>
      <c r="I1086" s="37"/>
      <c r="J1086" s="37"/>
      <c r="K1086" s="37"/>
      <c r="L1086" s="37"/>
      <c r="M1086" s="37"/>
      <c r="N1086" s="37"/>
      <c r="O1086" s="37"/>
      <c r="P1086" s="37"/>
      <c r="Q1086" s="37"/>
      <c r="R1086" s="37"/>
      <c r="S1086" s="37"/>
      <c r="T1086" s="37"/>
      <c r="U1086" s="37"/>
      <c r="V1086" s="37"/>
      <c r="W1086" s="37"/>
      <c r="X1086" s="37"/>
      <c r="Y1086" s="37"/>
      <c r="Z1086" s="37"/>
      <c r="AA1086" s="37"/>
      <c r="AB1086" s="37"/>
    </row>
    <row r="1087" spans="7:28" ht="12.75" customHeight="1">
      <c r="G1087" s="37"/>
      <c r="H1087" s="37"/>
      <c r="I1087" s="37"/>
      <c r="J1087" s="37"/>
      <c r="K1087" s="37"/>
      <c r="L1087" s="37"/>
      <c r="M1087" s="37"/>
      <c r="N1087" s="37"/>
      <c r="O1087" s="37"/>
      <c r="P1087" s="37"/>
      <c r="Q1087" s="37"/>
      <c r="R1087" s="37"/>
      <c r="S1087" s="37"/>
      <c r="T1087" s="37"/>
      <c r="U1087" s="37"/>
      <c r="V1087" s="37"/>
      <c r="W1087" s="37"/>
      <c r="X1087" s="37"/>
      <c r="Y1087" s="37"/>
      <c r="Z1087" s="37"/>
      <c r="AA1087" s="37"/>
      <c r="AB1087" s="37"/>
    </row>
    <row r="1088" spans="7:28" ht="12.75" customHeight="1">
      <c r="G1088" s="37"/>
      <c r="H1088" s="37"/>
      <c r="I1088" s="37"/>
      <c r="J1088" s="37"/>
      <c r="K1088" s="37"/>
      <c r="L1088" s="37"/>
      <c r="M1088" s="37"/>
      <c r="N1088" s="37"/>
      <c r="O1088" s="37"/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37"/>
      <c r="AA1088" s="37"/>
      <c r="AB1088" s="37"/>
    </row>
    <row r="1089" spans="7:28" ht="12.75" customHeight="1">
      <c r="G1089" s="37"/>
      <c r="H1089" s="37"/>
      <c r="I1089" s="37"/>
      <c r="J1089" s="37"/>
      <c r="K1089" s="37"/>
      <c r="L1089" s="37"/>
      <c r="M1089" s="37"/>
      <c r="N1089" s="37"/>
      <c r="O1089" s="37"/>
      <c r="P1089" s="37"/>
      <c r="Q1089" s="37"/>
      <c r="R1089" s="37"/>
      <c r="S1089" s="37"/>
      <c r="T1089" s="37"/>
      <c r="U1089" s="37"/>
      <c r="V1089" s="37"/>
      <c r="W1089" s="37"/>
      <c r="X1089" s="37"/>
      <c r="Y1089" s="37"/>
      <c r="Z1089" s="37"/>
      <c r="AA1089" s="37"/>
      <c r="AB1089" s="37"/>
    </row>
    <row r="1090" spans="7:28" ht="12.75" customHeight="1">
      <c r="G1090" s="37"/>
      <c r="H1090" s="37"/>
      <c r="I1090" s="37"/>
      <c r="J1090" s="37"/>
      <c r="K1090" s="37"/>
      <c r="L1090" s="37"/>
      <c r="M1090" s="37"/>
      <c r="N1090" s="37"/>
      <c r="O1090" s="37"/>
      <c r="P1090" s="37"/>
      <c r="Q1090" s="37"/>
      <c r="R1090" s="37"/>
      <c r="S1090" s="37"/>
      <c r="T1090" s="37"/>
      <c r="U1090" s="37"/>
      <c r="V1090" s="37"/>
      <c r="W1090" s="37"/>
      <c r="X1090" s="37"/>
      <c r="Y1090" s="37"/>
      <c r="Z1090" s="37"/>
      <c r="AA1090" s="37"/>
      <c r="AB1090" s="37"/>
    </row>
    <row r="1091" spans="7:28" ht="12.75" customHeight="1">
      <c r="G1091" s="37"/>
      <c r="H1091" s="37"/>
      <c r="I1091" s="37"/>
      <c r="J1091" s="37"/>
      <c r="K1091" s="37"/>
      <c r="L1091" s="37"/>
      <c r="M1091" s="37"/>
      <c r="N1091" s="37"/>
      <c r="O1091" s="37"/>
      <c r="P1091" s="37"/>
      <c r="Q1091" s="37"/>
      <c r="R1091" s="37"/>
      <c r="S1091" s="37"/>
      <c r="T1091" s="37"/>
      <c r="U1091" s="37"/>
      <c r="V1091" s="37"/>
      <c r="W1091" s="37"/>
      <c r="X1091" s="37"/>
      <c r="Y1091" s="37"/>
      <c r="Z1091" s="37"/>
      <c r="AA1091" s="37"/>
      <c r="AB1091" s="37"/>
    </row>
    <row r="1092" spans="7:28" ht="12.75" customHeight="1">
      <c r="G1092" s="37"/>
      <c r="H1092" s="37"/>
      <c r="I1092" s="37"/>
      <c r="J1092" s="37"/>
      <c r="K1092" s="37"/>
      <c r="L1092" s="37"/>
      <c r="M1092" s="37"/>
      <c r="N1092" s="37"/>
      <c r="O1092" s="37"/>
      <c r="P1092" s="37"/>
      <c r="Q1092" s="37"/>
      <c r="R1092" s="37"/>
      <c r="S1092" s="37"/>
      <c r="T1092" s="37"/>
      <c r="U1092" s="37"/>
      <c r="V1092" s="37"/>
      <c r="W1092" s="37"/>
      <c r="X1092" s="37"/>
      <c r="Y1092" s="37"/>
      <c r="Z1092" s="37"/>
      <c r="AA1092" s="37"/>
      <c r="AB1092" s="37"/>
    </row>
    <row r="1093" spans="7:28" ht="12.75" customHeight="1">
      <c r="G1093" s="37"/>
      <c r="H1093" s="37"/>
      <c r="I1093" s="37"/>
      <c r="J1093" s="37"/>
      <c r="K1093" s="37"/>
      <c r="L1093" s="37"/>
      <c r="M1093" s="37"/>
      <c r="N1093" s="37"/>
      <c r="O1093" s="37"/>
      <c r="P1093" s="37"/>
      <c r="Q1093" s="37"/>
      <c r="R1093" s="37"/>
      <c r="S1093" s="37"/>
      <c r="T1093" s="37"/>
      <c r="U1093" s="37"/>
      <c r="V1093" s="37"/>
      <c r="W1093" s="37"/>
      <c r="X1093" s="37"/>
      <c r="Y1093" s="37"/>
      <c r="Z1093" s="37"/>
      <c r="AA1093" s="37"/>
      <c r="AB1093" s="37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0"/>
  <sheetViews>
    <sheetView workbookViewId="0"/>
  </sheetViews>
  <sheetFormatPr defaultColWidth="12.5703125" defaultRowHeight="15" customHeight="1"/>
  <cols>
    <col min="1" max="1" width="14.28515625" customWidth="1"/>
    <col min="2" max="2" width="14.42578125" customWidth="1"/>
    <col min="3" max="3" width="15.7109375" customWidth="1"/>
    <col min="4" max="5" width="16.42578125" customWidth="1"/>
  </cols>
  <sheetData>
    <row r="1" spans="1:13">
      <c r="A1" s="37" t="s">
        <v>225</v>
      </c>
      <c r="B1" s="37" t="s">
        <v>226</v>
      </c>
      <c r="C1" s="37" t="s">
        <v>227</v>
      </c>
      <c r="D1" s="37" t="s">
        <v>228</v>
      </c>
      <c r="E1" s="37" t="s">
        <v>229</v>
      </c>
      <c r="F1" s="37" t="s">
        <v>230</v>
      </c>
      <c r="G1" s="37" t="s">
        <v>231</v>
      </c>
      <c r="H1" s="37" t="s">
        <v>232</v>
      </c>
      <c r="I1" s="37" t="s">
        <v>233</v>
      </c>
      <c r="J1" s="37" t="s">
        <v>234</v>
      </c>
      <c r="K1" s="37" t="s">
        <v>235</v>
      </c>
      <c r="L1" s="37" t="s">
        <v>236</v>
      </c>
      <c r="M1" s="37" t="s">
        <v>237</v>
      </c>
    </row>
    <row r="2" spans="1:13">
      <c r="A2" s="37" t="s">
        <v>238</v>
      </c>
      <c r="B2" s="37" t="s">
        <v>238</v>
      </c>
      <c r="C2" s="37" t="s">
        <v>239</v>
      </c>
      <c r="D2" s="37" t="s">
        <v>238</v>
      </c>
      <c r="E2" s="37" t="s">
        <v>238</v>
      </c>
      <c r="F2" s="37" t="s">
        <v>240</v>
      </c>
      <c r="G2" s="37" t="s">
        <v>240</v>
      </c>
      <c r="H2" s="37" t="s">
        <v>240</v>
      </c>
      <c r="I2" s="37" t="s">
        <v>241</v>
      </c>
      <c r="J2" s="37" t="s">
        <v>242</v>
      </c>
      <c r="K2" s="37" t="s">
        <v>242</v>
      </c>
      <c r="M2" s="37" t="s">
        <v>243</v>
      </c>
    </row>
    <row r="3" spans="1:13">
      <c r="A3" s="37" t="s">
        <v>244</v>
      </c>
      <c r="B3" s="37" t="s">
        <v>244</v>
      </c>
      <c r="C3" s="37" t="s">
        <v>245</v>
      </c>
      <c r="D3" s="37" t="s">
        <v>244</v>
      </c>
      <c r="E3" s="37" t="s">
        <v>244</v>
      </c>
      <c r="F3" s="37" t="s">
        <v>246</v>
      </c>
      <c r="G3" s="37" t="s">
        <v>246</v>
      </c>
      <c r="H3" s="37" t="s">
        <v>246</v>
      </c>
      <c r="I3" s="37" t="s">
        <v>247</v>
      </c>
      <c r="J3" s="37" t="s">
        <v>248</v>
      </c>
    </row>
    <row r="4" spans="1:13">
      <c r="A4" s="37" t="s">
        <v>249</v>
      </c>
      <c r="B4" s="37" t="s">
        <v>249</v>
      </c>
      <c r="C4" s="37" t="s">
        <v>250</v>
      </c>
      <c r="D4" s="37" t="s">
        <v>249</v>
      </c>
      <c r="E4" s="37" t="s">
        <v>249</v>
      </c>
      <c r="F4" s="37" t="s">
        <v>251</v>
      </c>
      <c r="G4" s="37" t="s">
        <v>251</v>
      </c>
      <c r="H4" s="37" t="s">
        <v>251</v>
      </c>
      <c r="I4" s="37" t="s">
        <v>252</v>
      </c>
    </row>
    <row r="5" spans="1:13">
      <c r="A5" s="37" t="s">
        <v>253</v>
      </c>
      <c r="B5" s="37" t="s">
        <v>253</v>
      </c>
      <c r="D5" s="37" t="s">
        <v>253</v>
      </c>
      <c r="E5" s="37" t="s">
        <v>253</v>
      </c>
      <c r="F5" s="37" t="s">
        <v>254</v>
      </c>
      <c r="G5" s="37" t="s">
        <v>254</v>
      </c>
      <c r="H5" s="37" t="s">
        <v>254</v>
      </c>
      <c r="I5" s="37" t="s">
        <v>255</v>
      </c>
    </row>
    <row r="6" spans="1:13">
      <c r="F6" s="37" t="s">
        <v>256</v>
      </c>
      <c r="G6" s="37" t="s">
        <v>256</v>
      </c>
      <c r="H6" s="37" t="s">
        <v>256</v>
      </c>
      <c r="I6" s="37" t="s">
        <v>257</v>
      </c>
    </row>
    <row r="7" spans="1:13">
      <c r="F7" s="37" t="s">
        <v>258</v>
      </c>
      <c r="G7" s="37" t="s">
        <v>258</v>
      </c>
      <c r="H7" s="37" t="s">
        <v>258</v>
      </c>
      <c r="I7" s="37" t="s">
        <v>243</v>
      </c>
    </row>
    <row r="8" spans="1:13">
      <c r="I8" s="37" t="s">
        <v>248</v>
      </c>
    </row>
    <row r="20" spans="7:13">
      <c r="G20" s="39" t="b">
        <f t="array" aca="1" ref="G20" ca="1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>0</v>
      </c>
      <c r="I20" s="39" t="b">
        <f t="array" aca="1" ref="I20" ca="1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>0</v>
      </c>
      <c r="K20" s="39" t="b">
        <f t="array" aca="1" ref="K20" ca="1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>0</v>
      </c>
      <c r="L20" s="39" t="b">
        <f t="array" aca="1" ref="L20" ca="1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>0</v>
      </c>
      <c r="M20" s="39" t="b">
        <f t="array" aca="1" ref="M20" ca="1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>0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5"/>
  <sheetViews>
    <sheetView workbookViewId="0"/>
  </sheetViews>
  <sheetFormatPr defaultColWidth="12.5703125" defaultRowHeight="15" customHeight="1"/>
  <cols>
    <col min="1" max="1" width="30.42578125" customWidth="1"/>
  </cols>
  <sheetData>
    <row r="1" spans="1:4">
      <c r="A1" s="37" t="s">
        <v>259</v>
      </c>
      <c r="B1" s="37" t="s">
        <v>260</v>
      </c>
      <c r="C1" s="37" t="s">
        <v>261</v>
      </c>
      <c r="D1" s="37" t="s">
        <v>262</v>
      </c>
    </row>
    <row r="2" spans="1:4">
      <c r="A2" s="37" t="s">
        <v>263</v>
      </c>
      <c r="B2" s="37" t="s">
        <v>264</v>
      </c>
      <c r="C2" s="40">
        <f>Timesheet!D2</f>
        <v>0</v>
      </c>
      <c r="D2" t="b">
        <f>Timesheet!B74</f>
        <v>0</v>
      </c>
    </row>
    <row r="3" spans="1:4">
      <c r="A3" s="37" t="s">
        <v>265</v>
      </c>
      <c r="B3" s="37" t="s">
        <v>266</v>
      </c>
      <c r="C3" s="40">
        <f>Timesheet!D2</f>
        <v>0</v>
      </c>
      <c r="D3" t="b">
        <f>Timesheet!B74</f>
        <v>0</v>
      </c>
    </row>
    <row r="4" spans="1:4">
      <c r="A4" s="37" t="s">
        <v>267</v>
      </c>
      <c r="B4" s="37" t="s">
        <v>268</v>
      </c>
      <c r="C4" s="40">
        <f>Timesheet!D2</f>
        <v>0</v>
      </c>
      <c r="D4" t="b">
        <f>Timesheet!B74</f>
        <v>0</v>
      </c>
    </row>
    <row r="5" spans="1:4">
      <c r="A5" s="37" t="s">
        <v>269</v>
      </c>
      <c r="B5" s="37" t="s">
        <v>270</v>
      </c>
      <c r="C5" s="40">
        <f>Timesheet!D2</f>
        <v>0</v>
      </c>
      <c r="D5" t="b">
        <f>Timesheet!B74</f>
        <v>0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2"/>
  <sheetViews>
    <sheetView workbookViewId="0"/>
  </sheetViews>
  <sheetFormatPr defaultColWidth="12.5703125" defaultRowHeight="15" customHeight="1"/>
  <cols>
    <col min="1" max="1" width="32.7109375" customWidth="1"/>
  </cols>
  <sheetData>
    <row r="1" spans="1:5">
      <c r="A1" s="37" t="s">
        <v>259</v>
      </c>
      <c r="B1" s="37" t="s">
        <v>260</v>
      </c>
      <c r="C1" s="37" t="s">
        <v>261</v>
      </c>
      <c r="D1" s="37" t="s">
        <v>262</v>
      </c>
      <c r="E1" s="37" t="s">
        <v>271</v>
      </c>
    </row>
    <row r="2" spans="1:5">
      <c r="A2" s="37" t="s">
        <v>272</v>
      </c>
      <c r="B2" s="37" t="s">
        <v>273</v>
      </c>
      <c r="C2" s="40">
        <f>Timesheet!D2</f>
        <v>0</v>
      </c>
      <c r="D2" t="b">
        <f>Timesheet!B74</f>
        <v>0</v>
      </c>
      <c r="E2" t="b">
        <f>Timesheet!Q6</f>
        <v>0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2"/>
  <sheetViews>
    <sheetView workbookViewId="0"/>
  </sheetViews>
  <sheetFormatPr defaultColWidth="12.5703125" defaultRowHeight="15" customHeight="1"/>
  <cols>
    <col min="1" max="1" width="85.85546875" customWidth="1"/>
  </cols>
  <sheetData>
    <row r="1" spans="1:1">
      <c r="A1" s="37" t="s">
        <v>274</v>
      </c>
    </row>
    <row r="2" spans="1:1">
      <c r="A2" s="37" t="s">
        <v>275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4E4AEB72E47A4697AB034BB4813EBF" ma:contentTypeVersion="12" ma:contentTypeDescription="Create a new document." ma:contentTypeScope="" ma:versionID="5750e7abd7a30df7bcf95b7e59322fc9">
  <xsd:schema xmlns:xsd="http://www.w3.org/2001/XMLSchema" xmlns:xs="http://www.w3.org/2001/XMLSchema" xmlns:p="http://schemas.microsoft.com/office/2006/metadata/properties" xmlns:ns2="93ee641c-b17f-4463-8650-2dbf6b7fb85f" xmlns:ns3="2b236cc3-e48a-4676-8bed-95aa6d0e4646" targetNamespace="http://schemas.microsoft.com/office/2006/metadata/properties" ma:root="true" ma:fieldsID="1a25b3092c19ab13bcec402e61f125ad" ns2:_="" ns3:_="">
    <xsd:import namespace="93ee641c-b17f-4463-8650-2dbf6b7fb85f"/>
    <xsd:import namespace="2b236cc3-e48a-4676-8bed-95aa6d0e4646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e641c-b17f-4463-8650-2dbf6b7fb85f" elementFormDefault="qualified">
    <xsd:import namespace="http://schemas.microsoft.com/office/2006/documentManagement/types"/>
    <xsd:import namespace="http://schemas.microsoft.com/office/infopath/2007/PartnerControls"/>
    <xsd:element name="Notes" ma:index="8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95720f-221e-4964-9d70-5451c6729f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36cc3-e48a-4676-8bed-95aa6d0e464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f8f58e-02eb-469d-b024-f724aa3a83c3}" ma:internalName="TaxCatchAll" ma:showField="CatchAllData" ma:web="2b236cc3-e48a-4676-8bed-95aa6d0e46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e641c-b17f-4463-8650-2dbf6b7fb85f">
      <Terms xmlns="http://schemas.microsoft.com/office/infopath/2007/PartnerControls"/>
    </lcf76f155ced4ddcb4097134ff3c332f>
    <TaxCatchAll xmlns="2b236cc3-e48a-4676-8bed-95aa6d0e4646" xsi:nil="true"/>
    <Notes xmlns="93ee641c-b17f-4463-8650-2dbf6b7fb85f" xsi:nil="true"/>
  </documentManagement>
</p:properties>
</file>

<file path=customXml/itemProps1.xml><?xml version="1.0" encoding="utf-8"?>
<ds:datastoreItem xmlns:ds="http://schemas.openxmlformats.org/officeDocument/2006/customXml" ds:itemID="{CA5DF5A7-60D8-47A8-AA01-F85BB15BAF52}"/>
</file>

<file path=customXml/itemProps2.xml><?xml version="1.0" encoding="utf-8"?>
<ds:datastoreItem xmlns:ds="http://schemas.openxmlformats.org/officeDocument/2006/customXml" ds:itemID="{3F685B8B-5363-465A-8AA0-EC8F52F2A9EC}"/>
</file>

<file path=customXml/itemProps3.xml><?xml version="1.0" encoding="utf-8"?>
<ds:datastoreItem xmlns:ds="http://schemas.openxmlformats.org/officeDocument/2006/customXml" ds:itemID="{36990059-0768-450B-B1B9-3EA062E938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Rajesh Koti</cp:lastModifiedBy>
  <cp:revision/>
  <dcterms:created xsi:type="dcterms:W3CDTF">2025-07-25T09:31:58Z</dcterms:created>
  <dcterms:modified xsi:type="dcterms:W3CDTF">2025-08-01T14:51:22Z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0x0101009E4E4AEB72E47A4697AB034BB4813EBF</vt:lpwstr>
  </property>
  <property fmtid="{D5CDD505-2E9C-101B-9397-08002B2CF9AE}" pid="3" name="MediaServiceImageTags">
    <vt:lpwstr/>
  </property>
</Properties>
</file>